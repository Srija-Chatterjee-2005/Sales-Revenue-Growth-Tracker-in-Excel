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0a9904472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" sheetId="1" r:id="R361ab8f06f1049b5"/>
    <x:sheet xmlns:r="http://schemas.openxmlformats.org/officeDocument/2006/relationships" name="Dashboard" sheetId="2" r:id="Re5e72cdef36f4bdd"/>
    <x:sheet xmlns:r="http://schemas.openxmlformats.org/officeDocument/2006/relationships" name="KPI_Center" sheetId="3" r:id="Rc179815b072742bd"/>
    <x:sheet xmlns:r="http://schemas.openxmlformats.org/officeDocument/2006/relationships" name="Forecast" sheetId="4" r:id="Ra7b1625503374176"/>
    <x:sheet xmlns:r="http://schemas.openxmlformats.org/officeDocument/2006/relationships" name="Reports" sheetId="5" r:id="R9483fd62f66e4330"/>
    <x:sheet xmlns:r="http://schemas.openxmlformats.org/officeDocument/2006/relationships" name="Data_Dictionary" sheetId="6" r:id="R38a28e8bab4a4e5c"/>
    <x:sheet xmlns:r="http://schemas.openxmlformats.org/officeDocument/2006/relationships" name="Settings" sheetId="7" r:id="R498e3140af7d4b8b"/>
    <x:sheet xmlns:r="http://schemas.openxmlformats.org/officeDocument/2006/relationships" name="RAW_DATA" sheetId="8" r:id="R375b5637708b4bd8"/>
    <x:sheet xmlns:r="http://schemas.openxmlformats.org/officeDocument/2006/relationships" name="Lists" sheetId="9" r:id="R8eedc411ca0648e0"/>
    <x:sheet xmlns:r="http://schemas.openxmlformats.org/officeDocument/2006/relationships" name="AI_Insights" sheetId="10" r:id="R2f11cc1e395b4c35"/>
    <x:sheet xmlns:r="http://schemas.openxmlformats.org/officeDocument/2006/relationships" name="Product_Analysis" sheetId="11" r:id="R06e3f59441644099"/>
    <x:sheet xmlns:r="http://schemas.openxmlformats.org/officeDocument/2006/relationships" name="Region_Analysis" sheetId="12" r:id="R21275d2294f442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₹#,##0"/>
    <x:numFmt numFmtId="201" formatCode="0"/>
    <x:numFmt numFmtId="202" formatCode="yyyy-mm-dd"/>
    <x:numFmt numFmtId="203" formatCode="0.0%"/>
    <x:numFmt numFmtId="204" formatCode="0.0"/>
  </x:numFmts>
  <x:fonts count="40">
    <x:font>
      <x:sz val="11"/>
      <x:name val="Carlito"/>
    </x:font>
    <x:font>
      <x:sz val="10"/>
      <x:color rgb="FFFFFFFF"/>
      <x:name val="Segoe UI"/>
    </x:font>
    <x:font>
      <x:b/>
      <x:sz val="24"/>
      <x:color rgb="FF6C63FF"/>
      <x:name val="Segoe UI"/>
    </x:font>
    <x:font>
      <x:b/>
      <x:sz val="11"/>
      <x:color rgb="FFFFFFFF"/>
      <x:name val="Segoe UI"/>
    </x:font>
    <x:font>
      <x:sz val="11"/>
      <x:color rgb="FFB8C7D9"/>
      <x:name val="Segoe UI"/>
    </x:font>
    <x:font>
      <x:sz val="9"/>
      <x:color rgb="FFB8C7D9"/>
      <x:name val="Segoe UI"/>
    </x:font>
    <x:font>
      <x:b/>
      <x:sz val="23"/>
      <x:color rgb="FFFFFFFF"/>
      <x:name val="Segoe UI"/>
    </x:font>
    <x:font>
      <x:sz val="11"/>
      <x:color rgb="FFDCE8F7"/>
      <x:name val="Segoe UI"/>
    </x:font>
    <x:font>
      <x:b/>
      <x:sz val="20"/>
      <x:color rgb="FFFFFFFF"/>
      <x:name val="Segoe UI"/>
    </x:font>
    <x:font>
      <x:b/>
      <x:sz val="10"/>
      <x:color rgb="FFE8E4FF"/>
      <x:name val="Segoe UI"/>
    </x:font>
    <x:font>
      <x:b/>
      <x:sz val="13"/>
      <x:color rgb="FF22D3EE"/>
      <x:name val="Segoe UI"/>
    </x:font>
    <x:font>
      <x:b/>
      <x:sz val="13"/>
      <x:color rgb="FF22C55E"/>
      <x:name val="Segoe UI"/>
    </x:font>
    <x:font>
      <x:b/>
      <x:sz val="13"/>
      <x:color rgb="FF8B5CF6"/>
      <x:name val="Segoe UI"/>
    </x:font>
    <x:font>
      <x:b/>
      <x:sz val="13"/>
      <x:color rgb="FFF97316"/>
      <x:name val="Segoe UI"/>
    </x:font>
    <x:font>
      <x:b/>
      <x:sz val="10"/>
      <x:color rgb="FF9ABDE0"/>
      <x:name val="Segoe UI"/>
    </x:font>
    <x:font>
      <x:b/>
      <x:sz val="18"/>
      <x:color rgb="FFFFFFFF"/>
      <x:name val="Segoe UI"/>
    </x:font>
    <x:font>
      <x:i/>
      <x:sz val="10"/>
      <x:color rgb="FFBFD7F1"/>
      <x:name val="Segoe UI"/>
    </x:font>
    <x:font>
      <x:b/>
      <x:sz val="11"/>
      <x:color rgb="FFFFFFFF"/>
      <x:name val="Carlito"/>
    </x:font>
    <x:font>
      <x:b/>
      <x:sz val="22"/>
      <x:color rgb="FFFFFFFF"/>
      <x:name val="Segoe UI"/>
    </x:font>
    <x:font>
      <x:b/>
      <x:sz val="10"/>
      <x:color rgb="FFFFFFFF"/>
      <x:name val="Segoe UI"/>
    </x:font>
    <x:font>
      <x:b/>
      <x:sz val="22"/>
      <x:color rgb="FFFACC15"/>
      <x:name val="Segoe UI"/>
    </x:font>
    <x:font>
      <x:b/>
      <x:sz val="17"/>
      <x:color rgb="FFFFFFFF"/>
      <x:name val="Segoe UI"/>
    </x:font>
    <x:font>
      <x:sz val="10"/>
      <x:color rgb="FFD6E5F6"/>
      <x:name val="Segoe UI"/>
    </x:font>
    <x:font>
      <x:sz val="11"/>
      <x:color rgb="FFDCE9F8"/>
      <x:name val="Segoe UI"/>
    </x:font>
    <x:font>
      <x:sz val="10"/>
      <x:color rgb="FFB8C7D9"/>
      <x:name val="Segoe UI"/>
    </x:font>
    <x:font>
      <x:i/>
      <x:sz val="10"/>
      <x:color rgb="FFBDD3EB"/>
      <x:name val="Segoe UI"/>
    </x:font>
    <x:font>
      <x:b/>
      <x:sz val="14"/>
      <x:color rgb="FF22D3EE"/>
      <x:name val="Segoe UI"/>
    </x:font>
    <x:font>
      <x:b/>
      <x:sz val="14"/>
      <x:color rgb="FF22C55E"/>
      <x:name val="Segoe UI"/>
    </x:font>
    <x:font>
      <x:b/>
      <x:sz val="14"/>
      <x:color rgb="FF2979FF"/>
      <x:name val="Segoe UI"/>
    </x:font>
    <x:font>
      <x:b/>
      <x:sz val="14"/>
      <x:color rgb="FFEC4899"/>
      <x:name val="Segoe UI"/>
    </x:font>
    <x:font>
      <x:b/>
      <x:sz val="10"/>
      <x:color rgb="FFB8D9FF"/>
      <x:name val="Segoe UI"/>
    </x:font>
    <x:font>
      <x:b/>
      <x:sz val="10"/>
      <x:color rgb="FF2979FF"/>
      <x:name val="Segoe UI"/>
    </x:font>
    <x:font>
      <x:b/>
      <x:sz val="10"/>
      <x:color rgb="FF8B5CF6"/>
      <x:name val="Segoe UI"/>
    </x:font>
    <x:font>
      <x:b/>
      <x:sz val="10"/>
      <x:color rgb="FF22C55E"/>
      <x:name val="Segoe UI"/>
    </x:font>
    <x:font>
      <x:sz val="10"/>
      <x:color rgb="FFDCE9F8"/>
      <x:name val="Segoe UI"/>
    </x:font>
    <x:font>
      <x:i/>
      <x:sz val="10"/>
      <x:color rgb="FFC9DDF3"/>
      <x:name val="Segoe UI"/>
    </x:font>
    <x:font>
      <x:b/>
      <x:sz val="14"/>
      <x:color rgb="FF8B5CF6"/>
      <x:name val="Segoe UI"/>
    </x:font>
    <x:font>
      <x:b/>
      <x:sz val="14"/>
      <x:color rgb="FFF97316"/>
      <x:name val="Segoe UI"/>
    </x:font>
    <x:font>
      <x:b/>
      <x:sz val="14"/>
      <x:color rgb="FFFACC15"/>
      <x:name val="Segoe UI"/>
    </x:font>
    <x:font>
      <x:sz val="11"/>
      <x:color rgb="FFDDEBFA"/>
      <x:name val="Segoe UI"/>
    </x:font>
  </x:fonts>
  <x:fills count="28">
    <x:fill>
      <x:patternFill patternType="none"/>
    </x:fill>
    <x:fill>
      <x:patternFill patternType="gray125"/>
    </x:fill>
    <x:fill>
      <x:patternFill patternType="solid">
        <x:fgColor rgb="FF071B33"/>
      </x:patternFill>
    </x:fill>
    <x:fill>
      <x:patternFill patternType="solid">
        <x:fgColor rgb="FF06182E"/>
      </x:patternFill>
    </x:fill>
    <x:fill>
      <x:patternFill patternType="solid">
        <x:fgColor rgb="FF1B3B68"/>
      </x:patternFill>
    </x:fill>
    <x:fill>
      <x:patternFill patternType="solid">
        <x:fgColor rgb="FF0C2749"/>
      </x:patternFill>
    </x:fill>
    <x:fill>
      <x:patternFill patternType="solid">
        <x:fgColor rgb="FF0E2948"/>
      </x:patternFill>
    </x:fill>
    <x:fill>
      <x:patternFill patternType="solid">
        <x:fgColor rgb="FF0D243F"/>
      </x:patternFill>
    </x:fill>
    <x:fill>
      <x:patternFill patternType="solid">
        <x:fgColor rgb="FF0A223D"/>
      </x:patternFill>
    </x:fill>
    <x:fill>
      <x:patternFill patternType="solid">
        <x:fgColor rgb="FF0C294A"/>
      </x:patternFill>
    </x:fill>
    <x:fill>
      <x:patternFill patternType="solid">
        <x:fgColor rgb="FF112C4F"/>
      </x:patternFill>
    </x:fill>
    <x:fill>
      <x:patternFill patternType="solid">
        <x:fgColor rgb="FF0B2748"/>
      </x:patternFill>
    </x:fill>
    <x:fill>
      <x:patternFill patternType="solid">
        <x:fgColor rgb="FF0D294A"/>
      </x:patternFill>
    </x:fill>
    <x:fill>
      <x:patternFill patternType="solid">
        <x:fgColor rgb="FF173E6C"/>
      </x:patternFill>
    </x:fill>
    <x:fill>
      <x:patternFill patternType="solid">
        <x:fgColor rgb="FF132E52"/>
      </x:patternFill>
    </x:fill>
    <x:fill>
      <x:patternFill patternType="solid">
        <x:fgColor rgb="FF102B4E"/>
      </x:patternFill>
    </x:fill>
    <x:fill>
      <x:patternFill patternType="solid">
        <x:fgColor rgb="FF0E2A4A"/>
      </x:patternFill>
    </x:fill>
    <x:fill>
      <x:patternFill patternType="solid">
        <x:fgColor rgb="FF173E6C"/>
      </x:patternFill>
    </x:fill>
    <x:fill>
      <x:patternFill patternType="solid">
        <x:fgColor rgb="FF071B33"/>
      </x:patternFill>
    </x:fill>
    <x:fill>
      <x:patternFill patternType="solid">
        <x:fgColor rgb="FF06182E"/>
      </x:patternFill>
    </x:fill>
    <x:fill>
      <x:patternFill patternType="solid">
        <x:fgColor rgb="FF1B3B68"/>
      </x:patternFill>
    </x:fill>
    <x:fill>
      <x:patternFill patternType="solid">
        <x:fgColor rgb="FF0B2748"/>
      </x:patternFill>
    </x:fill>
    <x:fill>
      <x:patternFill patternType="solid">
        <x:fgColor rgb="FF102A4C"/>
      </x:patternFill>
    </x:fill>
    <x:fill>
      <x:patternFill patternType="solid">
        <x:fgColor rgb="FF0D294A"/>
      </x:patternFill>
    </x:fill>
    <x:fill>
      <x:patternFill patternType="solid">
        <x:fgColor rgb="FF122D50"/>
      </x:patternFill>
    </x:fill>
    <x:fill>
      <x:patternFill patternType="solid">
        <x:fgColor rgb="FF0E2A4A"/>
      </x:patternFill>
    </x:fill>
    <x:fill>
      <x:patternFill patternType="solid">
        <x:fgColor rgb="FF102D50"/>
      </x:patternFill>
    </x:fill>
    <x:fill>
      <x:patternFill patternType="solid">
        <x:fgColor rgb="FF0F2E52"/>
      </x:patternFill>
    </x:fill>
  </x:fills>
  <x:borders count="2">
    <x:border/>
    <x:border/>
  </x:borders>
  <x:cellStyleXfs count="1">
    <x:xf numFmtId="0" fontId="0" fillId="0" borderId="0"/>
  </x:cellStyleXfs>
  <x:cellXfs count="3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left"/>
    </x:xf>
    <x:xf numFmtId="0" fontId="4" fillId="3" borderId="1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left"/>
    </x:xf>
    <x:xf numFmtId="0" fontId="6" fillId="2" borderId="1" xfId="0" applyNumberFormat="1" applyFont="1" applyFill="1" applyBorder="1" applyAlignment="1">
      <x:alignment horizontal="left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left" wrapText="1"/>
    </x:xf>
    <x:xf numFmtId="0" fontId="7" fillId="2" borderId="0" xfId="0" applyNumberFormat="1" applyFont="1" applyFill="1" applyBorder="1" applyAlignment="1">
      <x:alignment horizontal="left" vertical="top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left" wrapText="1"/>
    </x:xf>
    <x:xf numFmtId="0" fontId="7" fillId="2" borderId="1" xfId="0" applyNumberFormat="1" applyFont="1" applyFill="1" applyBorder="1" applyAlignment="1">
      <x:alignment horizontal="left" vertical="top" wrapText="1"/>
    </x:xf>
    <x:xf numFmtId="0" fontId="1" fillId="6" borderId="0" xfId="0" applyNumberFormat="1" applyFont="1" applyFill="1" applyBorder="1"/>
    <x:xf numFmtId="0" fontId="8" fillId="6" borderId="0" xfId="0" applyNumberFormat="1" applyFont="1" applyFill="1" applyBorder="1"/>
    <x:xf numFmtId="200" fontId="8" fillId="6" borderId="0" xfId="0" applyNumberFormat="1" applyFont="1" applyFill="1" applyBorder="1"/>
    <x:xf numFmtId="200" fontId="8" fillId="6" borderId="0" xfId="0" applyNumberFormat="1" applyFont="1" applyFill="1" applyBorder="1" applyAlignment="1">
      <x:alignment horizontal="center"/>
    </x:xf>
    <x:xf numFmtId="200" fontId="8" fillId="6" borderId="0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/>
    <x:xf numFmtId="0" fontId="8" fillId="6" borderId="1" xfId="0" applyNumberFormat="1" applyFont="1" applyFill="1" applyBorder="1"/>
    <x:xf numFmtId="200" fontId="8" fillId="6" borderId="1" xfId="0" applyNumberFormat="1" applyFont="1" applyFill="1" applyBorder="1"/>
    <x:xf numFmtId="200" fontId="8" fillId="6" borderId="1" xfId="0" applyNumberFormat="1" applyFont="1" applyFill="1" applyBorder="1" applyAlignment="1">
      <x:alignment horizontal="center"/>
    </x:xf>
    <x:xf numFmtId="200" fontId="8" fillId="6" borderId="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horizont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/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horizont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horizontal="center" wrapText="1"/>
    </x:xf>
    <x:xf numFmtId="0" fontId="11" fillId="7" borderId="0" xfId="0" applyNumberFormat="1" applyFont="1" applyFill="1" applyBorder="1" applyAlignment="1">
      <x:alignment horizontal="center" vertical="center" wrapText="1"/>
    </x:xf>
    <x:xf numFmtId="0" fontId="11" fillId="7" borderId="1" xfId="0" applyNumberFormat="1" applyFont="1" applyFill="1" applyBorder="1"/>
    <x:xf numFmtId="0" fontId="11" fillId="7" borderId="1" xfId="0" applyNumberFormat="1" applyFont="1" applyFill="1" applyBorder="1" applyAlignment="1">
      <x:alignment wrapText="1"/>
    </x:xf>
    <x:xf numFmtId="0" fontId="11" fillId="7" borderId="1" xfId="0" applyNumberFormat="1" applyFont="1" applyFill="1" applyBorder="1" applyAlignment="1">
      <x:alignment horizontal="center" wrapText="1"/>
    </x:xf>
    <x:xf numFmtId="0" fontId="11" fillId="7" borderId="1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horizontal="center" wrapText="1"/>
    </x:xf>
    <x:xf numFmtId="0" fontId="12" fillId="7" borderId="0" xfId="0" applyNumberFormat="1" applyFont="1" applyFill="1" applyBorder="1" applyAlignment="1">
      <x:alignment horizontal="center" vertical="center" wrapText="1"/>
    </x:xf>
    <x:xf numFmtId="0" fontId="12" fillId="7" borderId="1" xfId="0" applyNumberFormat="1" applyFont="1" applyFill="1" applyBorder="1"/>
    <x:xf numFmtId="0" fontId="12" fillId="7" borderId="1" xfId="0" applyNumberFormat="1" applyFont="1" applyFill="1" applyBorder="1" applyAlignment="1">
      <x:alignment wrapText="1"/>
    </x:xf>
    <x:xf numFmtId="0" fontId="12" fillId="7" borderId="1" xfId="0" applyNumberFormat="1" applyFont="1" applyFill="1" applyBorder="1" applyAlignment="1">
      <x:alignment horizontal="center" wrapText="1"/>
    </x:xf>
    <x:xf numFmtId="0" fontId="12" fillId="7" borderId="1" xfId="0" applyNumberFormat="1" applyFont="1" applyFill="1" applyBorder="1" applyAlignment="1">
      <x:alignment horizontal="center" vertical="center" wrapText="1"/>
    </x:xf>
    <x:xf numFmtId="0" fontId="13" fillId="7" borderId="0" xfId="0" applyNumberFormat="1" applyFont="1" applyFill="1" applyBorder="1"/>
    <x:xf numFmtId="0" fontId="13" fillId="7" borderId="0" xfId="0" applyNumberFormat="1" applyFont="1" applyFill="1" applyBorder="1" applyAlignment="1">
      <x:alignment wrapText="1"/>
    </x:xf>
    <x:xf numFmtId="0" fontId="13" fillId="7" borderId="0" xfId="0" applyNumberFormat="1" applyFont="1" applyFill="1" applyBorder="1" applyAlignment="1">
      <x:alignment horizontal="center" wrapText="1"/>
    </x:xf>
    <x:xf numFmtId="0" fontId="13" fillId="7" borderId="0" xfId="0" applyNumberFormat="1" applyFont="1" applyFill="1" applyBorder="1" applyAlignment="1">
      <x:alignment horizontal="center" vertical="center" wrapText="1"/>
    </x:xf>
    <x:xf numFmtId="0" fontId="13" fillId="7" borderId="1" xfId="0" applyNumberFormat="1" applyFont="1" applyFill="1" applyBorder="1"/>
    <x:xf numFmtId="0" fontId="13" fillId="7" borderId="1" xfId="0" applyNumberFormat="1" applyFont="1" applyFill="1" applyBorder="1" applyAlignment="1">
      <x:alignment wrapText="1"/>
    </x:xf>
    <x:xf numFmtId="0" fontId="13" fillId="7" borderId="1" xfId="0" applyNumberFormat="1" applyFont="1" applyFill="1" applyBorder="1" applyAlignment="1">
      <x:alignment horizontal="center" wrapText="1"/>
    </x:xf>
    <x:xf numFmtId="0" fontId="13" fillId="7" borderId="1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/>
    <x:xf numFmtId="0" fontId="14" fillId="8" borderId="0" xfId="0" applyNumberFormat="1" applyFont="1" applyFill="1" applyBorder="1"/>
    <x:xf numFmtId="0" fontId="14" fillId="8" borderId="0" xfId="0" applyNumberFormat="1" applyFont="1" applyFill="1" applyBorder="1" applyAlignment="1">
      <x:alignment horizontal="left"/>
    </x:xf>
    <x:xf numFmtId="0" fontId="1" fillId="8" borderId="1" xfId="0" applyNumberFormat="1" applyFont="1" applyFill="1" applyBorder="1"/>
    <x:xf numFmtId="0" fontId="14" fillId="8" borderId="1" xfId="0" applyNumberFormat="1" applyFont="1" applyFill="1" applyBorder="1"/>
    <x:xf numFmtId="0" fontId="14" fillId="8" borderId="1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/>
    <x:xf numFmtId="0" fontId="15" fillId="9" borderId="0" xfId="0" applyNumberFormat="1" applyFont="1" applyFill="1" applyBorder="1"/>
    <x:xf numFmtId="201" fontId="15" fillId="9" borderId="0" xfId="0" applyNumberFormat="1" applyFont="1" applyFill="1" applyBorder="1"/>
    <x:xf numFmtId="201" fontId="15" fillId="9" borderId="0" xfId="0" applyNumberFormat="1" applyFont="1" applyFill="1" applyBorder="1" applyAlignment="1">
      <x:alignment horizontal="center"/>
    </x:xf>
    <x:xf numFmtId="201" fontId="15" fillId="9" borderId="0" xfId="0" applyNumberFormat="1" applyFont="1" applyFill="1" applyBorder="1" applyAlignment="1">
      <x:alignment horizontal="center" vertical="center"/>
    </x:xf>
    <x:xf numFmtId="0" fontId="1" fillId="9" borderId="1" xfId="0" applyNumberFormat="1" applyFont="1" applyFill="1" applyBorder="1"/>
    <x:xf numFmtId="0" fontId="15" fillId="9" borderId="1" xfId="0" applyNumberFormat="1" applyFont="1" applyFill="1" applyBorder="1"/>
    <x:xf numFmtId="201" fontId="15" fillId="9" borderId="1" xfId="0" applyNumberFormat="1" applyFont="1" applyFill="1" applyBorder="1"/>
    <x:xf numFmtId="201" fontId="15" fillId="9" borderId="1" xfId="0" applyNumberFormat="1" applyFont="1" applyFill="1" applyBorder="1" applyAlignment="1">
      <x:alignment horizontal="center"/>
    </x:xf>
    <x:xf numFmtId="201" fontId="15" fillId="9" borderId="1" xfId="0" applyNumberFormat="1" applyFont="1" applyFill="1" applyBorder="1" applyAlignment="1">
      <x:alignment horizontal="center" vertical="center"/>
    </x:xf>
    <x:xf numFmtId="200" fontId="15" fillId="9" borderId="0" xfId="0" applyNumberFormat="1" applyFont="1" applyFill="1" applyBorder="1"/>
    <x:xf numFmtId="200" fontId="15" fillId="9" borderId="0" xfId="0" applyNumberFormat="1" applyFont="1" applyFill="1" applyBorder="1" applyAlignment="1">
      <x:alignment horizontal="center"/>
    </x:xf>
    <x:xf numFmtId="200" fontId="15" fillId="9" borderId="0" xfId="0" applyNumberFormat="1" applyFont="1" applyFill="1" applyBorder="1" applyAlignment="1">
      <x:alignment horizontal="center" vertical="center"/>
    </x:xf>
    <x:xf numFmtId="200" fontId="15" fillId="9" borderId="1" xfId="0" applyNumberFormat="1" applyFont="1" applyFill="1" applyBorder="1"/>
    <x:xf numFmtId="200" fontId="15" fillId="9" borderId="1" xfId="0" applyNumberFormat="1" applyFont="1" applyFill="1" applyBorder="1" applyAlignment="1">
      <x:alignment horizontal="center"/>
    </x:xf>
    <x:xf numFmtId="200" fontId="15" fillId="9" borderId="1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0" xfId="0" applyNumberFormat="1" applyFont="1" applyFill="1" applyBorder="1" applyAlignment="1">
      <x:alignment wrapText="1"/>
    </x:xf>
    <x:xf numFmtId="0" fontId="16" fillId="10" borderId="0" xfId="0" applyNumberFormat="1" applyFont="1" applyFill="1" applyBorder="1" applyAlignment="1">
      <x:alignment vertical="center" wrapText="1"/>
    </x:xf>
    <x:xf numFmtId="0" fontId="1" fillId="10" borderId="1" xfId="0" applyNumberFormat="1" applyFont="1" applyFill="1" applyBorder="1"/>
    <x:xf numFmtId="0" fontId="16" fillId="10" borderId="1" xfId="0" applyNumberFormat="1" applyFont="1" applyFill="1" applyBorder="1"/>
    <x:xf numFmtId="0" fontId="16" fillId="10" borderId="1" xfId="0" applyNumberFormat="1" applyFont="1" applyFill="1" applyBorder="1" applyAlignment="1">
      <x:alignment wrapText="1"/>
    </x:xf>
    <x:xf numFmtId="0" fontId="16" fillId="10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horizontal="center"/>
    </x:xf>
    <x:xf numFmtId="0" fontId="17" fillId="11" borderId="0" xfId="0" applyNumberFormat="1" applyFont="1" applyFill="1" applyBorder="1" applyAlignment="1">
      <x:alignment horizontal="center" vertical="center"/>
    </x:xf>
    <x:xf numFmtId="0" fontId="0" fillId="11" borderId="1" xfId="0" applyNumberFormat="1" applyFont="1" applyFill="1" applyBorder="1"/>
    <x:xf numFmtId="0" fontId="17" fillId="11" borderId="1" xfId="0" applyNumberFormat="1" applyFont="1" applyFill="1" applyBorder="1"/>
    <x:xf numFmtId="0" fontId="17" fillId="11" borderId="1" xfId="0" applyNumberFormat="1" applyFont="1" applyFill="1" applyBorder="1" applyAlignment="1">
      <x:alignment horizontal="center"/>
    </x:xf>
    <x:xf numFmtId="0" fontId="17" fillId="11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8" fillId="2" borderId="0" xfId="0" applyNumberFormat="1" applyFont="1" applyFill="1" applyBorder="1"/>
    <x:xf numFmtId="0" fontId="18" fillId="2" borderId="0" xfId="0" applyNumberFormat="1" applyFont="1" applyFill="1" applyBorder="1" applyAlignment="1">
      <x:alignment horizontal="left"/>
    </x:xf>
    <x:xf numFmtId="0" fontId="18" fillId="2" borderId="1" xfId="0" applyNumberFormat="1" applyFont="1" applyFill="1" applyBorder="1"/>
    <x:xf numFmtId="0" fontId="18" fillId="2" borderId="1" xfId="0" applyNumberFormat="1" applyFont="1" applyFill="1" applyBorder="1" applyAlignment="1">
      <x:alignment horizontal="left"/>
    </x:xf>
    <x:xf numFmtId="0" fontId="1" fillId="12" borderId="0" xfId="0" applyNumberFormat="1" applyFont="1" applyFill="1" applyBorder="1"/>
    <x:xf numFmtId="0" fontId="15" fillId="12" borderId="0" xfId="0" applyNumberFormat="1" applyFont="1" applyFill="1" applyBorder="1"/>
    <x:xf numFmtId="200" fontId="15" fillId="12" borderId="0" xfId="0" applyNumberFormat="1" applyFont="1" applyFill="1" applyBorder="1"/>
    <x:xf numFmtId="200" fontId="15" fillId="12" borderId="0" xfId="0" applyNumberFormat="1" applyFont="1" applyFill="1" applyBorder="1" applyAlignment="1">
      <x:alignment horizontal="center"/>
    </x:xf>
    <x:xf numFmtId="200" fontId="15" fillId="12" borderId="0" xfId="0" applyNumberFormat="1" applyFont="1" applyFill="1" applyBorder="1" applyAlignment="1">
      <x:alignment horizontal="center" vertical="center"/>
    </x:xf>
    <x:xf numFmtId="0" fontId="1" fillId="12" borderId="1" xfId="0" applyNumberFormat="1" applyFont="1" applyFill="1" applyBorder="1"/>
    <x:xf numFmtId="0" fontId="15" fillId="12" borderId="1" xfId="0" applyNumberFormat="1" applyFont="1" applyFill="1" applyBorder="1"/>
    <x:xf numFmtId="200" fontId="15" fillId="12" borderId="1" xfId="0" applyNumberFormat="1" applyFont="1" applyFill="1" applyBorder="1"/>
    <x:xf numFmtId="200" fontId="15" fillId="12" borderId="1" xfId="0" applyNumberFormat="1" applyFont="1" applyFill="1" applyBorder="1" applyAlignment="1">
      <x:alignment horizontal="center"/>
    </x:xf>
    <x:xf numFmtId="200" fontId="15" fillId="12" borderId="1" xfId="0" applyNumberFormat="1" applyFont="1" applyFill="1" applyBorder="1" applyAlignment="1">
      <x:alignment horizontal="center" vertical="center"/>
    </x:xf>
    <x:xf numFmtId="203" fontId="15" fillId="12" borderId="0" xfId="0" applyNumberFormat="1" applyFont="1" applyFill="1" applyBorder="1"/>
    <x:xf numFmtId="203" fontId="15" fillId="12" borderId="0" xfId="0" applyNumberFormat="1" applyFont="1" applyFill="1" applyBorder="1" applyAlignment="1">
      <x:alignment horizontal="center"/>
    </x:xf>
    <x:xf numFmtId="203" fontId="15" fillId="12" borderId="0" xfId="0" applyNumberFormat="1" applyFont="1" applyFill="1" applyBorder="1" applyAlignment="1">
      <x:alignment horizontal="center" vertical="center"/>
    </x:xf>
    <x:xf numFmtId="203" fontId="15" fillId="12" borderId="1" xfId="0" applyNumberFormat="1" applyFont="1" applyFill="1" applyBorder="1"/>
    <x:xf numFmtId="203" fontId="15" fillId="12" borderId="1" xfId="0" applyNumberFormat="1" applyFont="1" applyFill="1" applyBorder="1" applyAlignment="1">
      <x:alignment horizontal="center"/>
    </x:xf>
    <x:xf numFmtId="203" fontId="15" fillId="12" borderId="1" xfId="0" applyNumberFormat="1" applyFont="1" applyFill="1" applyBorder="1" applyAlignment="1">
      <x:alignment horizontal="center" vertical="center"/>
    </x:xf>
    <x:xf numFmtId="201" fontId="15" fillId="12" borderId="0" xfId="0" applyNumberFormat="1" applyFont="1" applyFill="1" applyBorder="1"/>
    <x:xf numFmtId="201" fontId="15" fillId="12" borderId="0" xfId="0" applyNumberFormat="1" applyFont="1" applyFill="1" applyBorder="1" applyAlignment="1">
      <x:alignment horizontal="center"/>
    </x:xf>
    <x:xf numFmtId="201" fontId="15" fillId="12" borderId="0" xfId="0" applyNumberFormat="1" applyFont="1" applyFill="1" applyBorder="1" applyAlignment="1">
      <x:alignment horizontal="center" vertical="center"/>
    </x:xf>
    <x:xf numFmtId="201" fontId="15" fillId="12" borderId="1" xfId="0" applyNumberFormat="1" applyFont="1" applyFill="1" applyBorder="1"/>
    <x:xf numFmtId="201" fontId="15" fillId="12" borderId="1" xfId="0" applyNumberFormat="1" applyFont="1" applyFill="1" applyBorder="1" applyAlignment="1">
      <x:alignment horizontal="center"/>
    </x:xf>
    <x:xf numFmtId="201" fontId="15" fillId="12" borderId="1" xfId="0" applyNumberFormat="1" applyFont="1" applyFill="1" applyBorder="1" applyAlignment="1">
      <x:alignment horizontal="center" vertical="center"/>
    </x:xf>
    <x:xf numFmtId="204" fontId="15" fillId="12" borderId="0" xfId="0" applyNumberFormat="1" applyFont="1" applyFill="1" applyBorder="1"/>
    <x:xf numFmtId="204" fontId="15" fillId="12" borderId="0" xfId="0" applyNumberFormat="1" applyFont="1" applyFill="1" applyBorder="1" applyAlignment="1">
      <x:alignment horizontal="center"/>
    </x:xf>
    <x:xf numFmtId="204" fontId="15" fillId="12" borderId="0" xfId="0" applyNumberFormat="1" applyFont="1" applyFill="1" applyBorder="1" applyAlignment="1">
      <x:alignment horizontal="center" vertical="center"/>
    </x:xf>
    <x:xf numFmtId="204" fontId="15" fillId="12" borderId="1" xfId="0" applyNumberFormat="1" applyFont="1" applyFill="1" applyBorder="1"/>
    <x:xf numFmtId="204" fontId="15" fillId="12" borderId="1" xfId="0" applyNumberFormat="1" applyFont="1" applyFill="1" applyBorder="1" applyAlignment="1">
      <x:alignment horizontal="center"/>
    </x:xf>
    <x:xf numFmtId="204" fontId="15" fillId="12" borderId="1" xfId="0" applyNumberFormat="1" applyFont="1" applyFill="1" applyBorder="1" applyAlignment="1">
      <x:alignment horizontal="center" vertical="center"/>
    </x:xf>
    <x:xf numFmtId="0" fontId="1" fillId="13" borderId="0" xfId="0" applyNumberFormat="1" applyFont="1" applyFill="1" applyBorder="1"/>
    <x:xf numFmtId="0" fontId="19" fillId="13" borderId="0" xfId="0" applyNumberFormat="1" applyFont="1" applyFill="1" applyBorder="1"/>
    <x:xf numFmtId="0" fontId="1" fillId="13" borderId="1" xfId="0" applyNumberFormat="1" applyFont="1" applyFill="1" applyBorder="1"/>
    <x:xf numFmtId="0" fontId="19" fillId="13" borderId="1" xfId="0" applyNumberFormat="1" applyFont="1" applyFill="1" applyBorder="1"/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0" fontId="19" fillId="13" borderId="0" xfId="0" applyNumberFormat="1" applyFont="1" applyFill="1" applyBorder="1" applyAlignment="1">
      <x:alignment horizontal="center"/>
    </x:xf>
    <x:xf numFmtId="0" fontId="19" fillId="13" borderId="1" xfId="0" applyNumberFormat="1" applyFont="1" applyFill="1" applyBorder="1" applyAlignment="1">
      <x:alignment horizontal="center"/>
    </x:xf>
    <x:xf numFmtId="203" fontId="1" fillId="2" borderId="0" xfId="0" applyNumberFormat="1" applyFont="1" applyFill="1" applyBorder="1"/>
    <x:xf numFmtId="203" fontId="1" fillId="2" borderId="1" xfId="0" applyNumberFormat="1" applyFont="1" applyFill="1" applyBorder="1"/>
    <x:xf numFmtId="0" fontId="1" fillId="14" borderId="0" xfId="0" applyNumberFormat="1" applyFont="1" applyFill="1" applyBorder="1"/>
    <x:xf numFmtId="0" fontId="20" fillId="14" borderId="0" xfId="0" applyNumberFormat="1" applyFont="1" applyFill="1" applyBorder="1"/>
    <x:xf numFmtId="200" fontId="20" fillId="14" borderId="0" xfId="0" applyNumberFormat="1" applyFont="1" applyFill="1" applyBorder="1"/>
    <x:xf numFmtId="200" fontId="20" fillId="14" borderId="0" xfId="0" applyNumberFormat="1" applyFont="1" applyFill="1" applyBorder="1" applyAlignment="1">
      <x:alignment horizontal="center"/>
    </x:xf>
    <x:xf numFmtId="200" fontId="20" fillId="14" borderId="0" xfId="0" applyNumberFormat="1" applyFont="1" applyFill="1" applyBorder="1" applyAlignment="1">
      <x:alignment horizontal="center" vertical="center"/>
    </x:xf>
    <x:xf numFmtId="0" fontId="1" fillId="14" borderId="1" xfId="0" applyNumberFormat="1" applyFont="1" applyFill="1" applyBorder="1"/>
    <x:xf numFmtId="0" fontId="20" fillId="14" borderId="1" xfId="0" applyNumberFormat="1" applyFont="1" applyFill="1" applyBorder="1"/>
    <x:xf numFmtId="200" fontId="20" fillId="14" borderId="1" xfId="0" applyNumberFormat="1" applyFont="1" applyFill="1" applyBorder="1"/>
    <x:xf numFmtId="200" fontId="20" fillId="14" borderId="1" xfId="0" applyNumberFormat="1" applyFont="1" applyFill="1" applyBorder="1" applyAlignment="1">
      <x:alignment horizontal="center"/>
    </x:xf>
    <x:xf numFmtId="200" fontId="20" fillId="14" borderId="1" xfId="0" applyNumberFormat="1" applyFont="1" applyFill="1" applyBorder="1" applyAlignment="1">
      <x:alignment horizontal="center" vertical="center"/>
    </x:xf>
    <x:xf numFmtId="0" fontId="1" fillId="15" borderId="0" xfId="0" applyNumberFormat="1" applyFont="1" applyFill="1" applyBorder="1"/>
    <x:xf numFmtId="0" fontId="21" fillId="15" borderId="0" xfId="0" applyNumberFormat="1" applyFont="1" applyFill="1" applyBorder="1"/>
    <x:xf numFmtId="200" fontId="21" fillId="15" borderId="0" xfId="0" applyNumberFormat="1" applyFont="1" applyFill="1" applyBorder="1"/>
    <x:xf numFmtId="200" fontId="21" fillId="15" borderId="0" xfId="0" applyNumberFormat="1" applyFont="1" applyFill="1" applyBorder="1" applyAlignment="1">
      <x:alignment horizontal="center"/>
    </x:xf>
    <x:xf numFmtId="200" fontId="21" fillId="15" borderId="0" xfId="0" applyNumberFormat="1" applyFont="1" applyFill="1" applyBorder="1" applyAlignment="1">
      <x:alignment horizontal="center" vertical="center"/>
    </x:xf>
    <x:xf numFmtId="0" fontId="1" fillId="15" borderId="1" xfId="0" applyNumberFormat="1" applyFont="1" applyFill="1" applyBorder="1"/>
    <x:xf numFmtId="0" fontId="21" fillId="15" borderId="1" xfId="0" applyNumberFormat="1" applyFont="1" applyFill="1" applyBorder="1"/>
    <x:xf numFmtId="200" fontId="21" fillId="15" borderId="1" xfId="0" applyNumberFormat="1" applyFont="1" applyFill="1" applyBorder="1"/>
    <x:xf numFmtId="200" fontId="21" fillId="15" borderId="1" xfId="0" applyNumberFormat="1" applyFont="1" applyFill="1" applyBorder="1" applyAlignment="1">
      <x:alignment horizontal="center"/>
    </x:xf>
    <x:xf numFmtId="200" fontId="21" fillId="15" borderId="1" xfId="0" applyNumberFormat="1" applyFont="1" applyFill="1" applyBorder="1" applyAlignment="1">
      <x:alignment horizontal="center" vertical="center"/>
    </x:xf>
    <x:xf numFmtId="201" fontId="21" fillId="15" borderId="0" xfId="0" applyNumberFormat="1" applyFont="1" applyFill="1" applyBorder="1"/>
    <x:xf numFmtId="201" fontId="21" fillId="15" borderId="0" xfId="0" applyNumberFormat="1" applyFont="1" applyFill="1" applyBorder="1" applyAlignment="1">
      <x:alignment horizontal="center"/>
    </x:xf>
    <x:xf numFmtId="201" fontId="21" fillId="15" borderId="0" xfId="0" applyNumberFormat="1" applyFont="1" applyFill="1" applyBorder="1" applyAlignment="1">
      <x:alignment horizontal="center" vertical="center"/>
    </x:xf>
    <x:xf numFmtId="201" fontId="21" fillId="15" borderId="1" xfId="0" applyNumberFormat="1" applyFont="1" applyFill="1" applyBorder="1"/>
    <x:xf numFmtId="201" fontId="21" fillId="15" borderId="1" xfId="0" applyNumberFormat="1" applyFont="1" applyFill="1" applyBorder="1" applyAlignment="1">
      <x:alignment horizontal="center"/>
    </x:xf>
    <x:xf numFmtId="201" fontId="21" fillId="15" borderId="1" xfId="0" applyNumberFormat="1" applyFont="1" applyFill="1" applyBorder="1" applyAlignment="1">
      <x:alignment horizontal="center" vertical="center"/>
    </x:xf>
    <x:xf numFmtId="203" fontId="21" fillId="15" borderId="0" xfId="0" applyNumberFormat="1" applyFont="1" applyFill="1" applyBorder="1"/>
    <x:xf numFmtId="203" fontId="21" fillId="15" borderId="0" xfId="0" applyNumberFormat="1" applyFont="1" applyFill="1" applyBorder="1" applyAlignment="1">
      <x:alignment horizontal="center"/>
    </x:xf>
    <x:xf numFmtId="203" fontId="21" fillId="15" borderId="0" xfId="0" applyNumberFormat="1" applyFont="1" applyFill="1" applyBorder="1" applyAlignment="1">
      <x:alignment horizontal="center" vertical="center"/>
    </x:xf>
    <x:xf numFmtId="203" fontId="21" fillId="15" borderId="1" xfId="0" applyNumberFormat="1" applyFont="1" applyFill="1" applyBorder="1"/>
    <x:xf numFmtId="203" fontId="21" fillId="15" borderId="1" xfId="0" applyNumberFormat="1" applyFont="1" applyFill="1" applyBorder="1" applyAlignment="1">
      <x:alignment horizontal="center"/>
    </x:xf>
    <x:xf numFmtId="203" fontId="21" fillId="15" borderId="1" xfId="0" applyNumberFormat="1" applyFont="1" applyFill="1" applyBorder="1" applyAlignment="1">
      <x:alignment horizontal="center" vertical="center"/>
    </x:xf>
    <x:xf numFmtId="0" fontId="1" fillId="16" borderId="0" xfId="0" applyNumberFormat="1" applyFont="1" applyFill="1" applyBorder="1"/>
    <x:xf numFmtId="0" fontId="22" fillId="16" borderId="0" xfId="0" applyNumberFormat="1" applyFont="1" applyFill="1" applyBorder="1"/>
    <x:xf numFmtId="0" fontId="22" fillId="16" borderId="0" xfId="0" applyNumberFormat="1" applyFont="1" applyFill="1" applyBorder="1" applyAlignment="1">
      <x:alignment wrapText="1"/>
    </x:xf>
    <x:xf numFmtId="0" fontId="22" fillId="16" borderId="0" xfId="0" applyNumberFormat="1" applyFont="1" applyFill="1" applyBorder="1" applyAlignment="1">
      <x:alignment vertical="top" wrapText="1"/>
    </x:xf>
    <x:xf numFmtId="0" fontId="1" fillId="16" borderId="1" xfId="0" applyNumberFormat="1" applyFont="1" applyFill="1" applyBorder="1"/>
    <x:xf numFmtId="0" fontId="22" fillId="16" borderId="1" xfId="0" applyNumberFormat="1" applyFont="1" applyFill="1" applyBorder="1"/>
    <x:xf numFmtId="0" fontId="22" fillId="16" borderId="1" xfId="0" applyNumberFormat="1" applyFont="1" applyFill="1" applyBorder="1" applyAlignment="1">
      <x:alignment wrapText="1"/>
    </x:xf>
    <x:xf numFmtId="0" fontId="22" fillId="16" borderId="1" xfId="0" applyNumberFormat="1" applyFont="1" applyFill="1" applyBorder="1" applyAlignment="1">
      <x:alignment vertical="top" wrapText="1"/>
    </x:xf>
    <x:xf numFmtId="0" fontId="23" fillId="16" borderId="0" xfId="0" applyNumberFormat="1" applyFont="1" applyFill="1" applyBorder="1"/>
    <x:xf numFmtId="0" fontId="23" fillId="16" borderId="0" xfId="0" applyNumberFormat="1" applyFont="1" applyFill="1" applyBorder="1" applyAlignment="1">
      <x:alignment wrapText="1"/>
    </x:xf>
    <x:xf numFmtId="0" fontId="23" fillId="16" borderId="0" xfId="0" applyNumberFormat="1" applyFont="1" applyFill="1" applyBorder="1" applyAlignment="1">
      <x:alignment vertical="top" wrapText="1"/>
    </x:xf>
    <x:xf numFmtId="0" fontId="23" fillId="16" borderId="1" xfId="0" applyNumberFormat="1" applyFont="1" applyFill="1" applyBorder="1"/>
    <x:xf numFmtId="0" fontId="23" fillId="16" borderId="1" xfId="0" applyNumberFormat="1" applyFont="1" applyFill="1" applyBorder="1" applyAlignment="1">
      <x:alignment wrapText="1"/>
    </x:xf>
    <x:xf numFmtId="0" fontId="23" fillId="16" borderId="1" xfId="0" applyNumberFormat="1" applyFont="1" applyFill="1" applyBorder="1" applyAlignment="1">
      <x:alignment vertical="top" wrapText="1"/>
    </x:xf>
    <x:xf numFmtId="0" fontId="19" fillId="1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9" fillId="13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17" borderId="0" xfId="0" applyNumberFormat="1" applyFont="1" applyFill="1" applyBorder="1"/>
    <x:xf numFmtId="0" fontId="19" fillId="17" borderId="0" xfId="0" applyNumberFormat="1" applyFont="1" applyFill="1" applyBorder="1"/>
    <x:xf numFmtId="0" fontId="1" fillId="18" borderId="0" xfId="0" applyNumberFormat="1" applyFont="1" applyFill="1" applyBorder="1"/>
    <x:xf numFmtId="0" fontId="2" fillId="18" borderId="0" xfId="0" applyNumberFormat="1" applyFont="1" applyFill="1" applyBorder="1" applyAlignment="1">
      <x:alignment horizontal="center" vertical="center"/>
    </x:xf>
    <x:xf numFmtId="0" fontId="18" fillId="18" borderId="0" xfId="0" applyNumberFormat="1" applyFont="1" applyFill="1" applyBorder="1" applyAlignment="1">
      <x:alignment horizontal="left"/>
    </x:xf>
    <x:xf numFmtId="200" fontId="21" fillId="18" borderId="0" xfId="0" applyNumberFormat="1" applyFont="1" applyFill="1" applyBorder="1" applyAlignment="1">
      <x:alignment horizontal="center" vertical="center"/>
    </x:xf>
    <x:xf numFmtId="201" fontId="21" fillId="18" borderId="0" xfId="0" applyNumberFormat="1" applyFont="1" applyFill="1" applyBorder="1" applyAlignment="1">
      <x:alignment horizontal="center" vertical="center"/>
    </x:xf>
    <x:xf numFmtId="203" fontId="21" fillId="18" borderId="0" xfId="0" applyNumberFormat="1" applyFont="1" applyFill="1" applyBorder="1" applyAlignment="1">
      <x:alignment horizontal="center" vertical="center"/>
    </x:xf>
    <x:xf numFmtId="0" fontId="4" fillId="18" borderId="0" xfId="0" applyNumberFormat="1" applyFont="1" applyFill="1" applyBorder="1" applyAlignment="1">
      <x:alignment horizontal="left" vertical="center"/>
    </x:xf>
    <x:xf numFmtId="0" fontId="3" fillId="18" borderId="0" xfId="0" applyNumberFormat="1" applyFont="1" applyFill="1" applyBorder="1" applyAlignment="1">
      <x:alignment horizontal="left" vertical="center"/>
    </x:xf>
    <x:xf numFmtId="0" fontId="22" fillId="18" borderId="0" xfId="0" applyNumberFormat="1" applyFont="1" applyFill="1" applyBorder="1" applyAlignment="1">
      <x:alignment vertical="top" wrapText="1"/>
    </x:xf>
    <x:xf numFmtId="0" fontId="5" fillId="18" borderId="0" xfId="0" applyNumberFormat="1" applyFont="1" applyFill="1" applyBorder="1" applyAlignment="1">
      <x:alignment horizontal="center" vertical="center" wrapText="1"/>
    </x:xf>
    <x:xf numFmtId="0" fontId="19" fillId="18" borderId="0" xfId="0" applyNumberFormat="1" applyFont="1" applyFill="1" applyBorder="1" applyAlignment="1">
      <x:alignment horizontal="center" vertical="center"/>
    </x:xf>
    <x:xf numFmtId="0" fontId="19" fillId="18" borderId="0" xfId="0" applyNumberFormat="1" applyFont="1" applyFill="1" applyBorder="1" applyAlignment="1">
      <x:alignment horizontal="left"/>
    </x:xf>
    <x:xf numFmtId="200" fontId="19" fillId="18" borderId="0" xfId="0" applyNumberFormat="1" applyFont="1" applyFill="1" applyBorder="1" applyAlignment="1">
      <x:alignment horizontal="center" vertical="center"/>
    </x:xf>
    <x:xf numFmtId="201" fontId="19" fillId="18" borderId="0" xfId="0" applyNumberFormat="1" applyFont="1" applyFill="1" applyBorder="1" applyAlignment="1">
      <x:alignment horizontal="center" vertical="center"/>
    </x:xf>
    <x:xf numFmtId="203" fontId="19" fillId="18" borderId="0" xfId="0" applyNumberFormat="1" applyFont="1" applyFill="1" applyBorder="1" applyAlignment="1">
      <x:alignment horizontal="center" vertical="center"/>
    </x:xf>
    <x:xf numFmtId="0" fontId="1" fillId="18" borderId="0" xfId="0" applyNumberFormat="1" applyFont="1" applyFill="1" applyBorder="1" applyAlignment="1">
      <x:alignment horizontal="left" vertical="center"/>
    </x:xf>
    <x:xf numFmtId="0" fontId="19" fillId="18" borderId="0" xfId="0" applyNumberFormat="1" applyFont="1" applyFill="1" applyBorder="1" applyAlignment="1">
      <x:alignment horizontal="left" vertical="center"/>
    </x:xf>
    <x:xf numFmtId="0" fontId="1" fillId="18" borderId="0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 applyAlignment="1">
      <x:alignment horizontal="center" vertical="center" wrapText="1"/>
    </x:xf>
    <x:xf numFmtId="0" fontId="1" fillId="19" borderId="0" xfId="0" applyNumberFormat="1" applyFont="1" applyFill="1" applyBorder="1"/>
    <x:xf numFmtId="0" fontId="19" fillId="19" borderId="0" xfId="0" applyNumberFormat="1" applyFont="1" applyFill="1" applyBorder="1" applyAlignment="1">
      <x:alignment horizontal="center" vertical="center"/>
    </x:xf>
    <x:xf numFmtId="0" fontId="1" fillId="19" borderId="0" xfId="0" applyNumberFormat="1" applyFont="1" applyFill="1" applyBorder="1" applyAlignment="1">
      <x:alignment horizontal="left" vertical="center"/>
    </x:xf>
    <x:xf numFmtId="0" fontId="19" fillId="19" borderId="0" xfId="0" applyNumberFormat="1" applyFont="1" applyFill="1" applyBorder="1" applyAlignment="1">
      <x:alignment horizontal="left" vertical="center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2" fillId="19" borderId="0" xfId="0" applyNumberFormat="1" applyFont="1" applyFill="1" applyBorder="1" applyAlignment="1">
      <x:alignment horizontal="center" vertical="center"/>
    </x:xf>
    <x:xf numFmtId="0" fontId="24" fillId="19" borderId="0" xfId="0" applyNumberFormat="1" applyFont="1" applyFill="1" applyBorder="1" applyAlignment="1">
      <x:alignment horizontal="left" vertical="center"/>
    </x:xf>
    <x:xf numFmtId="0" fontId="24" fillId="19" xfId="0" applyNumberFormat="1" applyFont="1" applyFill="1" applyBorder="0" applyAlignment="1">
      <x:alignment horizontal="left" vertical="center"/>
    </x:xf>
    <x:xf numFmtId="0" fontId="19" fillId="20" borderId="0" xfId="0" applyNumberFormat="1" applyFont="1" applyFill="1" applyBorder="1" applyAlignment="1">
      <x:alignment horizontal="left" vertical="center"/>
    </x:xf>
    <x:xf numFmtId="0" fontId="19" fillId="20" xfId="0" applyNumberFormat="1" applyFont="1" applyFill="1" applyBorder="0" applyAlignment="1">
      <x:alignment horizontal="left" vertical="center"/>
    </x:xf>
    <x:xf numFmtId="0" fontId="24" fillId="19" borderId="0" xfId="0" applyNumberFormat="1" applyFont="1" applyFill="1" applyBorder="1"/>
    <x:xf numFmtId="0" fontId="24" fillId="19" xfId="0" applyNumberFormat="1" applyFont="1" applyFill="1" applyBorder="0"/>
    <x:xf numFmtId="0" fontId="24" fillId="19" xfId="0" applyNumberFormat="1" applyFont="1" applyFill="1" applyBorder="0" applyAlignment="1">
      <x:alignment horizontal="left"/>
    </x:xf>
    <x:xf numFmtId="0" fontId="1" fillId="21" borderId="0" xfId="0" applyNumberFormat="1" applyFont="1" applyFill="1" applyBorder="1"/>
    <x:xf numFmtId="0" fontId="25" fillId="21" borderId="0" xfId="0" applyNumberFormat="1" applyFont="1" applyFill="1" applyBorder="1"/>
    <x:xf numFmtId="0" fontId="25" fillId="21" borderId="0" xfId="0" applyNumberFormat="1" applyFont="1" applyFill="1" applyBorder="1" applyAlignment="1">
      <x:alignment horizontal="left"/>
    </x:xf>
    <x:xf numFmtId="200" fontId="19" fillId="22" borderId="0" xfId="0" applyNumberFormat="1" applyFont="1" applyFill="1" applyBorder="1" applyAlignment="1">
      <x:alignment horizontal="center" vertical="center"/>
    </x:xf>
    <x:xf numFmtId="0" fontId="1" fillId="22" borderId="0" xfId="0" applyNumberFormat="1" applyFont="1" applyFill="1" applyBorder="1"/>
    <x:xf numFmtId="200" fontId="15" fillId="22" borderId="0" xfId="0" applyNumberFormat="1" applyFont="1" applyFill="1" applyBorder="1" applyAlignment="1">
      <x:alignment horizontal="center" vertical="center"/>
    </x:xf>
    <x:xf numFmtId="0" fontId="15" fillId="22" borderId="0" xfId="0" applyNumberFormat="1" applyFont="1" applyFill="1" applyBorder="1"/>
    <x:xf numFmtId="200" fontId="15" fillId="22" xfId="0" applyNumberFormat="1" applyFont="1" applyFill="1" applyBorder="0" applyAlignment="1">
      <x:alignment horizontal="center" vertical="center"/>
    </x:xf>
    <x:xf numFmtId="0" fontId="15" fillId="22" xfId="0" applyNumberFormat="1" applyFont="1" applyFill="1" applyBorder="0"/>
    <x:xf numFmtId="200" fontId="15" fillId="22" xfId="0" applyNumberFormat="1" applyFont="1" applyFill="1" applyBorder="0"/>
    <x:xf numFmtId="200" fontId="15" fillId="22" xfId="0" applyNumberFormat="1" applyFont="1" applyFill="1" applyBorder="0" applyAlignment="1">
      <x:alignment horizontal="center"/>
    </x:xf>
    <x:xf numFmtId="201" fontId="19" fillId="22" borderId="0" xfId="0" applyNumberFormat="1" applyFont="1" applyFill="1" applyBorder="1" applyAlignment="1">
      <x:alignment horizontal="center" vertical="center"/>
    </x:xf>
    <x:xf numFmtId="201" fontId="15" fillId="22" borderId="0" xfId="0" applyNumberFormat="1" applyFont="1" applyFill="1" applyBorder="1" applyAlignment="1">
      <x:alignment horizontal="center" vertical="center"/>
    </x:xf>
    <x:xf numFmtId="201" fontId="15" fillId="22" xfId="0" applyNumberFormat="1" applyFont="1" applyFill="1" applyBorder="0" applyAlignment="1">
      <x:alignment horizontal="center" vertical="center"/>
    </x:xf>
    <x:xf numFmtId="203" fontId="15" fillId="22" xfId="0" applyNumberFormat="1" applyFont="1" applyFill="1" applyBorder="0" applyAlignment="1">
      <x:alignment horizontal="center" vertical="center"/>
    </x:xf>
    <x:xf numFmtId="203" fontId="15" fillId="22" xfId="0" applyNumberFormat="1" applyFont="1" applyFill="1" applyBorder="0"/>
    <x:xf numFmtId="203" fontId="15" fillId="22" xfId="0" applyNumberFormat="1" applyFont="1" applyFill="1" applyBorder="0" applyAlignment="1">
      <x:alignment horizontal="center"/>
    </x:xf>
    <x:xf numFmtId="203" fontId="19" fillId="22" borderId="0" xfId="0" applyNumberFormat="1" applyFont="1" applyFill="1" applyBorder="1" applyAlignment="1">
      <x:alignment horizontal="center" vertical="center"/>
    </x:xf>
    <x:xf numFmtId="203" fontId="15" fillId="22" borderId="0" xfId="0" applyNumberFormat="1" applyFont="1" applyFill="1" applyBorder="1" applyAlignment="1">
      <x:alignment horizontal="center" vertical="center"/>
    </x:xf>
    <x:xf numFmtId="0" fontId="1" fillId="23" borderId="0" xfId="0" applyNumberFormat="1" applyFont="1" applyFill="1" applyBorder="1"/>
    <x:xf numFmtId="0" fontId="26" fillId="23" borderId="0" xfId="0" applyNumberFormat="1" applyFont="1" applyFill="1" applyBorder="1"/>
    <x:xf numFmtId="0" fontId="26" fillId="23" xfId="0" applyNumberFormat="1" applyFont="1" applyFill="1" applyBorder="0"/>
    <x:xf numFmtId="200" fontId="26" fillId="23" xfId="0" applyNumberFormat="1" applyFont="1" applyFill="1" applyBorder="0"/>
    <x:xf numFmtId="200" fontId="26" fillId="23" xfId="0" applyNumberFormat="1" applyFont="1" applyFill="1" applyBorder="0" applyAlignment="1">
      <x:alignment horizontal="center"/>
    </x:xf>
    <x:xf numFmtId="200" fontId="26" fillId="23" xfId="0" applyNumberFormat="1" applyFont="1" applyFill="1" applyBorder="0" applyAlignment="1">
      <x:alignment horizontal="center" vertical="center"/>
    </x:xf>
    <x:xf numFmtId="0" fontId="27" fillId="23" borderId="0" xfId="0" applyNumberFormat="1" applyFont="1" applyFill="1" applyBorder="1"/>
    <x:xf numFmtId="0" fontId="27" fillId="23" xfId="0" applyNumberFormat="1" applyFont="1" applyFill="1" applyBorder="0"/>
    <x:xf numFmtId="203" fontId="27" fillId="23" xfId="0" applyNumberFormat="1" applyFont="1" applyFill="1" applyBorder="0"/>
    <x:xf numFmtId="203" fontId="27" fillId="23" xfId="0" applyNumberFormat="1" applyFont="1" applyFill="1" applyBorder="0" applyAlignment="1">
      <x:alignment horizontal="center"/>
    </x:xf>
    <x:xf numFmtId="203" fontId="27" fillId="23" xfId="0" applyNumberFormat="1" applyFont="1" applyFill="1" applyBorder="0" applyAlignment="1">
      <x:alignment horizontal="center" vertical="center"/>
    </x:xf>
    <x:xf numFmtId="0" fontId="28" fillId="23" borderId="0" xfId="0" applyNumberFormat="1" applyFont="1" applyFill="1" applyBorder="1"/>
    <x:xf numFmtId="0" fontId="28" fillId="23" xfId="0" applyNumberFormat="1" applyFont="1" applyFill="1" applyBorder="0"/>
    <x:xf numFmtId="203" fontId="28" fillId="23" xfId="0" applyNumberFormat="1" applyFont="1" applyFill="1" applyBorder="0"/>
    <x:xf numFmtId="203" fontId="28" fillId="23" xfId="0" applyNumberFormat="1" applyFont="1" applyFill="1" applyBorder="0" applyAlignment="1">
      <x:alignment horizontal="center"/>
    </x:xf>
    <x:xf numFmtId="203" fontId="28" fillId="23" xfId="0" applyNumberFormat="1" applyFont="1" applyFill="1" applyBorder="0" applyAlignment="1">
      <x:alignment horizontal="center" vertical="center"/>
    </x:xf>
    <x:xf numFmtId="0" fontId="29" fillId="23" borderId="0" xfId="0" applyNumberFormat="1" applyFont="1" applyFill="1" applyBorder="1"/>
    <x:xf numFmtId="0" fontId="29" fillId="23" xfId="0" applyNumberFormat="1" applyFont="1" applyFill="1" applyBorder="0"/>
    <x:xf numFmtId="204" fontId="29" fillId="23" xfId="0" applyNumberFormat="1" applyFont="1" applyFill="1" applyBorder="0"/>
    <x:xf numFmtId="204" fontId="29" fillId="23" xfId="0" applyNumberFormat="1" applyFont="1" applyFill="1" applyBorder="0" applyAlignment="1">
      <x:alignment horizontal="center"/>
    </x:xf>
    <x:xf numFmtId="204" fontId="29" fillId="23" xfId="0" applyNumberFormat="1" applyFont="1" applyFill="1" applyBorder="0" applyAlignment="1">
      <x:alignment horizontal="center" vertical="center"/>
    </x:xf>
    <x:xf numFmtId="0" fontId="1" fillId="24" borderId="0" xfId="0" applyNumberFormat="1" applyFont="1" applyFill="1" applyBorder="1"/>
    <x:xf numFmtId="0" fontId="30" fillId="24" borderId="0" xfId="0" applyNumberFormat="1" applyFont="1" applyFill="1" applyBorder="1"/>
    <x:xf numFmtId="0" fontId="19" fillId="17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wrapText="1"/>
    </x:xf>
    <x:xf numFmtId="0" fontId="19" fillId="17" borderId="0" xfId="0" applyNumberFormat="1" applyFont="1" applyFill="1" applyBorder="1" applyAlignment="1">
      <x:alignment horizontal="center"/>
    </x:xf>
    <x:xf numFmtId="0" fontId="31" fillId="23" borderId="0" xfId="0" applyNumberFormat="1" applyFont="1" applyFill="1" applyBorder="1"/>
    <x:xf numFmtId="0" fontId="31" fillId="23" xfId="0" applyNumberFormat="1" applyFont="1" applyFill="1" applyBorder="0"/>
    <x:xf numFmtId="0" fontId="31" fillId="23" xfId="0" applyNumberFormat="1" applyFont="1" applyFill="1" applyBorder="0" applyAlignment="1">
      <x:alignment wrapText="1"/>
    </x:xf>
    <x:xf numFmtId="0" fontId="31" fillId="23" xfId="0" applyNumberFormat="1" applyFont="1" applyFill="1" applyBorder="0" applyAlignment="1">
      <x:alignment horizontal="center" wrapText="1"/>
    </x:xf>
    <x:xf numFmtId="0" fontId="31" fillId="23" xfId="0" applyNumberFormat="1" applyFont="1" applyFill="1" applyBorder="0" applyAlignment="1">
      <x:alignment horizontal="center" vertical="center" wrapText="1"/>
    </x:xf>
    <x:xf numFmtId="0" fontId="32" fillId="23" borderId="0" xfId="0" applyNumberFormat="1" applyFont="1" applyFill="1" applyBorder="1"/>
    <x:xf numFmtId="0" fontId="32" fillId="23" xfId="0" applyNumberFormat="1" applyFont="1" applyFill="1" applyBorder="0"/>
    <x:xf numFmtId="0" fontId="32" fillId="23" xfId="0" applyNumberFormat="1" applyFont="1" applyFill="1" applyBorder="0" applyAlignment="1">
      <x:alignment wrapText="1"/>
    </x:xf>
    <x:xf numFmtId="0" fontId="32" fillId="23" xfId="0" applyNumberFormat="1" applyFont="1" applyFill="1" applyBorder="0" applyAlignment="1">
      <x:alignment horizontal="center" wrapText="1"/>
    </x:xf>
    <x:xf numFmtId="0" fontId="32" fillId="23" xfId="0" applyNumberFormat="1" applyFont="1" applyFill="1" applyBorder="0" applyAlignment="1">
      <x:alignment horizontal="center" vertical="center" wrapText="1"/>
    </x:xf>
    <x:xf numFmtId="0" fontId="33" fillId="23" borderId="0" xfId="0" applyNumberFormat="1" applyFont="1" applyFill="1" applyBorder="1"/>
    <x:xf numFmtId="0" fontId="33" fillId="23" xfId="0" applyNumberFormat="1" applyFont="1" applyFill="1" applyBorder="0"/>
    <x:xf numFmtId="0" fontId="33" fillId="23" xfId="0" applyNumberFormat="1" applyFont="1" applyFill="1" applyBorder="0" applyAlignment="1">
      <x:alignment wrapText="1"/>
    </x:xf>
    <x:xf numFmtId="0" fontId="33" fillId="23" xfId="0" applyNumberFormat="1" applyFont="1" applyFill="1" applyBorder="0" applyAlignment="1">
      <x:alignment horizontal="center" wrapText="1"/>
    </x:xf>
    <x:xf numFmtId="0" fontId="33" fillId="23" xfId="0" applyNumberFormat="1" applyFont="1" applyFill="1" applyBorder="0" applyAlignment="1">
      <x:alignment horizontal="center" vertical="center" wrapText="1"/>
    </x:xf>
    <x:xf numFmtId="0" fontId="0" fillId="18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horizontal="center"/>
    </x:xf>
    <x:xf numFmtId="0" fontId="1" fillId="20" borderId="0" xfId="0" applyNumberFormat="1" applyFont="1" applyFill="1" applyBorder="1"/>
    <x:xf numFmtId="0" fontId="19" fillId="20" borderId="0" xfId="0" applyNumberFormat="1" applyFont="1" applyFill="1" applyBorder="1"/>
    <x:xf numFmtId="0" fontId="19" fillId="20" xfId="0" applyNumberFormat="1" applyFont="1" applyFill="1" applyBorder="0"/>
    <x:xf numFmtId="0" fontId="19" fillId="20" xfId="0" applyNumberFormat="1" applyFont="1" applyFill="1" applyBorder="0" applyAlignment="1">
      <x:alignment horizontal="left"/>
    </x:xf>
    <x:xf numFmtId="0" fontId="18" fillId="18" borderId="0" xfId="0" applyNumberFormat="1" applyFont="1" applyFill="1" applyBorder="1"/>
    <x:xf numFmtId="200" fontId="1" fillId="18" borderId="0" xfId="0" applyNumberFormat="1" applyFont="1" applyFill="1" applyBorder="1"/>
    <x:xf numFmtId="203" fontId="1" fillId="18" borderId="0" xfId="0" applyNumberFormat="1" applyFont="1" applyFill="1" applyBorder="1"/>
    <x:xf numFmtId="0" fontId="1" fillId="25" borderId="0" xfId="0" applyNumberFormat="1" applyFont="1" applyFill="1" applyBorder="1"/>
    <x:xf numFmtId="0" fontId="34" fillId="25" borderId="0" xfId="0" applyNumberFormat="1" applyFont="1" applyFill="1" applyBorder="1"/>
    <x:xf numFmtId="0" fontId="34" fillId="25" xfId="0" applyNumberFormat="1" applyFont="1" applyFill="1" applyBorder="0"/>
    <x:xf numFmtId="0" fontId="34" fillId="25" xfId="0" applyNumberFormat="1" applyFont="1" applyFill="1" applyBorder="0" applyAlignment="1">
      <x:alignment wrapText="1"/>
    </x:xf>
    <x:xf numFmtId="0" fontId="34" fillId="25" xfId="0" applyNumberFormat="1" applyFont="1" applyFill="1" applyBorder="0" applyAlignment="1">
      <x:alignment vertical="top" wrapText="1"/>
    </x:xf>
    <x:xf numFmtId="0" fontId="1" fillId="26" borderId="0" xfId="0" applyNumberFormat="1" applyFont="1" applyFill="1" applyBorder="1"/>
    <x:xf numFmtId="0" fontId="35" fillId="26" borderId="0" xfId="0" applyNumberFormat="1" applyFont="1" applyFill="1" applyBorder="1"/>
    <x:xf numFmtId="0" fontId="35" fillId="26" borderId="0" xfId="0" applyNumberFormat="1" applyFont="1" applyFill="1" applyBorder="1" applyAlignment="1">
      <x:alignment wrapText="1"/>
    </x:xf>
    <x:xf numFmtId="0" fontId="35" fillId="26" borderId="0" xfId="0" applyNumberFormat="1" applyFont="1" applyFill="1" applyBorder="1" applyAlignment="1">
      <x:alignment vertical="center" wrapText="1"/>
    </x:xf>
    <x:xf numFmtId="0" fontId="28" fillId="23" xfId="0" applyNumberFormat="1" applyFont="1" applyFill="1" applyBorder="0" applyAlignment="1">
      <x:alignment wrapText="1"/>
    </x:xf>
    <x:xf numFmtId="0" fontId="28" fillId="23" xfId="0" applyNumberFormat="1" applyFont="1" applyFill="1" applyBorder="0" applyAlignment="1">
      <x:alignment horizontal="center" wrapText="1"/>
    </x:xf>
    <x:xf numFmtId="0" fontId="28" fillId="23" xfId="0" applyNumberFormat="1" applyFont="1" applyFill="1" applyBorder="0" applyAlignment="1">
      <x:alignment horizontal="center" vertical="center" wrapText="1"/>
    </x:xf>
    <x:xf numFmtId="0" fontId="36" fillId="23" borderId="0" xfId="0" applyNumberFormat="1" applyFont="1" applyFill="1" applyBorder="1"/>
    <x:xf numFmtId="0" fontId="36" fillId="23" xfId="0" applyNumberFormat="1" applyFont="1" applyFill="1" applyBorder="0"/>
    <x:xf numFmtId="0" fontId="36" fillId="23" xfId="0" applyNumberFormat="1" applyFont="1" applyFill="1" applyBorder="0" applyAlignment="1">
      <x:alignment wrapText="1"/>
    </x:xf>
    <x:xf numFmtId="0" fontId="36" fillId="23" xfId="0" applyNumberFormat="1" applyFont="1" applyFill="1" applyBorder="0" applyAlignment="1">
      <x:alignment horizontal="center" wrapText="1"/>
    </x:xf>
    <x:xf numFmtId="0" fontId="36" fillId="23" xfId="0" applyNumberFormat="1" applyFont="1" applyFill="1" applyBorder="0" applyAlignment="1">
      <x:alignment horizontal="center" vertical="center" wrapText="1"/>
    </x:xf>
    <x:xf numFmtId="0" fontId="27" fillId="23" xfId="0" applyNumberFormat="1" applyFont="1" applyFill="1" applyBorder="0" applyAlignment="1">
      <x:alignment wrapText="1"/>
    </x:xf>
    <x:xf numFmtId="0" fontId="27" fillId="23" xfId="0" applyNumberFormat="1" applyFont="1" applyFill="1" applyBorder="0" applyAlignment="1">
      <x:alignment horizontal="center" wrapText="1"/>
    </x:xf>
    <x:xf numFmtId="0" fontId="27" fillId="23" xfId="0" applyNumberFormat="1" applyFont="1" applyFill="1" applyBorder="0" applyAlignment="1">
      <x:alignment horizontal="center" vertical="center" wrapText="1"/>
    </x:xf>
    <x:xf numFmtId="0" fontId="29" fillId="23" xfId="0" applyNumberFormat="1" applyFont="1" applyFill="1" applyBorder="0" applyAlignment="1">
      <x:alignment wrapText="1"/>
    </x:xf>
    <x:xf numFmtId="0" fontId="29" fillId="23" xfId="0" applyNumberFormat="1" applyFont="1" applyFill="1" applyBorder="0" applyAlignment="1">
      <x:alignment horizontal="center" wrapText="1"/>
    </x:xf>
    <x:xf numFmtId="0" fontId="29" fillId="23" xfId="0" applyNumberFormat="1" applyFont="1" applyFill="1" applyBorder="0" applyAlignment="1">
      <x:alignment horizontal="center" vertical="center" wrapText="1"/>
    </x:xf>
    <x:xf numFmtId="0" fontId="37" fillId="23" borderId="0" xfId="0" applyNumberFormat="1" applyFont="1" applyFill="1" applyBorder="1"/>
    <x:xf numFmtId="0" fontId="37" fillId="23" xfId="0" applyNumberFormat="1" applyFont="1" applyFill="1" applyBorder="0"/>
    <x:xf numFmtId="0" fontId="37" fillId="23" xfId="0" applyNumberFormat="1" applyFont="1" applyFill="1" applyBorder="0" applyAlignment="1">
      <x:alignment wrapText="1"/>
    </x:xf>
    <x:xf numFmtId="0" fontId="37" fillId="23" xfId="0" applyNumberFormat="1" applyFont="1" applyFill="1" applyBorder="0" applyAlignment="1">
      <x:alignment horizontal="center" wrapText="1"/>
    </x:xf>
    <x:xf numFmtId="0" fontId="37" fillId="23" xfId="0" applyNumberFormat="1" applyFont="1" applyFill="1" applyBorder="0" applyAlignment="1">
      <x:alignment horizontal="center" vertical="center" wrapText="1"/>
    </x:xf>
    <x:xf numFmtId="0" fontId="38" fillId="23" borderId="0" xfId="0" applyNumberFormat="1" applyFont="1" applyFill="1" applyBorder="1"/>
    <x:xf numFmtId="0" fontId="38" fillId="23" xfId="0" applyNumberFormat="1" applyFont="1" applyFill="1" applyBorder="0"/>
    <x:xf numFmtId="0" fontId="38" fillId="23" xfId="0" applyNumberFormat="1" applyFont="1" applyFill="1" applyBorder="0" applyAlignment="1">
      <x:alignment wrapText="1"/>
    </x:xf>
    <x:xf numFmtId="0" fontId="38" fillId="23" xfId="0" applyNumberFormat="1" applyFont="1" applyFill="1" applyBorder="0" applyAlignment="1">
      <x:alignment horizontal="center" wrapText="1"/>
    </x:xf>
    <x:xf numFmtId="0" fontId="38" fillId="23" xfId="0" applyNumberFormat="1" applyFont="1" applyFill="1" applyBorder="0" applyAlignment="1">
      <x:alignment horizontal="center" vertical="center" wrapText="1"/>
    </x:xf>
    <x:xf numFmtId="0" fontId="1" fillId="27" borderId="0" xfId="0" applyNumberFormat="1" applyFont="1" applyFill="1" applyBorder="1"/>
    <x:xf numFmtId="0" fontId="39" fillId="27" borderId="0" xfId="0" applyNumberFormat="1" applyFont="1" applyFill="1" applyBorder="1"/>
    <x:xf numFmtId="0" fontId="39" fillId="27" xfId="0" applyNumberFormat="1" applyFont="1" applyFill="1" applyBorder="0"/>
    <x:xf numFmtId="0" fontId="39" fillId="27" xfId="0" applyNumberFormat="1" applyFont="1" applyFill="1" applyBorder="0" applyAlignment="1">
      <x:alignment wrapText="1"/>
    </x:xf>
    <x:xf numFmtId="0" fontId="39" fillId="27" xfId="0" applyNumberFormat="1" applyFont="1" applyFill="1" applyBorder="0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b32f14e99c4d53" /><Relationship Type="http://schemas.openxmlformats.org/officeDocument/2006/relationships/theme" Target="/xl/theme/theme1.xml" Id="R2e27d0879ba149b5" /><Relationship Type="http://schemas.openxmlformats.org/officeDocument/2006/relationships/sharedStrings" Target="/xl/sharedStrings.xml" Id="R99259c5cb7cd42ac" /><Relationship Type="http://schemas.openxmlformats.org/officeDocument/2006/relationships/worksheet" Target="/xl/worksheets/sheet1.xml" Id="R361ab8f06f1049b5" /><Relationship Type="http://schemas.openxmlformats.org/officeDocument/2006/relationships/worksheet" Target="/xl/worksheets/sheet2.xml" Id="Re5e72cdef36f4bdd" /><Relationship Type="http://schemas.openxmlformats.org/officeDocument/2006/relationships/worksheet" Target="/xl/worksheets/sheet3.xml" Id="Rc179815b072742bd" /><Relationship Type="http://schemas.openxmlformats.org/officeDocument/2006/relationships/worksheet" Target="/xl/worksheets/sheet4.xml" Id="Ra7b1625503374176" /><Relationship Type="http://schemas.openxmlformats.org/officeDocument/2006/relationships/worksheet" Target="/xl/worksheets/sheet5.xml" Id="R9483fd62f66e4330" /><Relationship Type="http://schemas.openxmlformats.org/officeDocument/2006/relationships/worksheet" Target="/xl/worksheets/sheet6.xml" Id="R38a28e8bab4a4e5c" /><Relationship Type="http://schemas.openxmlformats.org/officeDocument/2006/relationships/worksheet" Target="/xl/worksheets/sheet7.xml" Id="R498e3140af7d4b8b" /><Relationship Type="http://schemas.openxmlformats.org/officeDocument/2006/relationships/worksheet" Target="/xl/worksheets/sheet8.xml" Id="R375b5637708b4bd8" /><Relationship Type="http://schemas.openxmlformats.org/officeDocument/2006/relationships/worksheet" Target="/xl/worksheets/sheet9.xml" Id="R8eedc411ca0648e0" /><Relationship Type="http://schemas.openxmlformats.org/officeDocument/2006/relationships/worksheet" Target="/xl/worksheets/sheet10.xml" Id="R2f11cc1e395b4c35" /><Relationship Type="http://schemas.openxmlformats.org/officeDocument/2006/relationships/worksheet" Target="/xl/worksheets/sheet11.xml" Id="R06e3f59441644099" /><Relationship Type="http://schemas.openxmlformats.org/officeDocument/2006/relationships/worksheet" Target="/xl/worksheets/sheet12.xml" Id="R21275d2294f442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9c3237385ae4d6d" /><Relationship Type="http://schemas.openxmlformats.org/officeDocument/2006/relationships/chart" Target="/xl/drawings/charts/chart2.xml" Id="R851e2625a7cc4bf6" /><Relationship Type="http://schemas.openxmlformats.org/officeDocument/2006/relationships/chart" Target="/xl/drawings/charts/chart3.xml" Id="R8deebe92d7ef45e5" /><Relationship Type="http://schemas.openxmlformats.org/officeDocument/2006/relationships/chart" Target="/xl/drawings/charts/chart4.xml" Id="R7d1aa02eb1104e9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20868a50c1c94d1f" /><Relationship Type="http://schemas.openxmlformats.org/officeDocument/2006/relationships/chart" Target="/xl/drawings/charts/chart6.xml" Id="Rf61a9704a2ea454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8911a8c265724be8" /><Relationship Type="http://schemas.openxmlformats.org/officeDocument/2006/relationships/chart" Target="/xl/drawings/charts/chart8.xml" Id="R7193fc29f15f48ca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8a165b8732df466b" /><Relationship Type="http://schemas.openxmlformats.org/officeDocument/2006/relationships/chart" Target="/xl/drawings/charts/chart10.xml" Id="R1baa4b9ac0d648c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'KPI_Center'!$E$21:$E$24</c:f>
              <c:strCache>
                <c:ptCount val="0"/>
              </c:strCache>
            </c:strRef>
          </c:cat>
          <c:val>
            <c:numRef>
              <c:f>'KPI_Center'!$F$21:$F$24</c:f>
              <c:numCache>
                <c:formatCode>₹#,##0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Profit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Profit</c:v>
          </c:tx>
          <c:cat>
            <c:strRef>
              <c:f>'KPI_Center'!$H$21:$H$24</c:f>
              <c:strCache>
                <c:ptCount val="0"/>
              </c:strCache>
            </c:strRef>
          </c:cat>
          <c:val>
            <c:numRef>
              <c:f>'KPI_Center'!$I$21:$I$24</c:f>
              <c:numCache>
                <c:formatCode>₹#,##0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'Forecast'!$E$6:$E$17</c:f>
              <c:strCache>
                <c:ptCount val="0"/>
              </c:strCache>
            </c:strRef>
          </c:cat>
          <c:val>
            <c:numRef>
              <c:f>'Forecast'!$F$6:$F$17</c:f>
              <c:numCache>
                <c:formatCode>₹#,##0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Sales Channel Mix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Revenue</c:v>
          </c:tx>
          <c:cat>
            <c:strRef>
              <c:f>'KPI_Center'!$J$21:$J$22</c:f>
              <c:strCache>
                <c:ptCount val="0"/>
              </c:strCache>
            </c:strRef>
          </c:cat>
          <c:val>
            <c:numRef>
              <c:f>'KPI_Center'!$K$21:$K$22</c:f>
              <c:numCache>
                <c:formatCode>₹#,##0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12-Month Revenue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'Forecast'!$E$6:$E$17</c:f>
              <c:strCache>
                <c:ptCount val="0"/>
              </c:strCache>
            </c:strRef>
          </c:cat>
          <c:val>
            <c:numRef>
              <c:f>'Forecast'!$F$6:$F$17</c:f>
              <c:numCache>
                <c:formatCode>₹#,##0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Quarterly Revenue vs Profit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'Forecast'!$E$22:$E$25</c:f>
              <c:strCache>
                <c:ptCount val="0"/>
              </c:strCache>
            </c:strRef>
          </c:cat>
          <c:val>
            <c:numRef>
              <c:f>'Forecast'!$F$22:$F$25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'Forecast'!$E$22:$E$25</c:f>
              <c:strCache>
                <c:ptCount val="0"/>
              </c:strCache>
            </c:strRef>
          </c:cat>
          <c:val>
            <c:numRef>
              <c:f>'Forecast'!$G$22:$G$25</c:f>
              <c:numCache>
                <c:formatCode>₹#,##0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Product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'Product_Analysis'!$E$7:$E$18</c:f>
              <c:strCache>
                <c:ptCount val="0"/>
              </c:strCache>
            </c:strRef>
          </c:cat>
          <c:val>
            <c:numRef>
              <c:f>'Product_Analysis'!$F$7:$F$18</c:f>
              <c:numCache>
                <c:formatCode>₹#,##0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Profit by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'Product_Analysis'!$E$7:$E$18</c:f>
              <c:strCache>
                <c:ptCount val="0"/>
              </c:strCache>
            </c:strRef>
          </c:cat>
          <c:val>
            <c:numRef>
              <c:f>'Product_Analysis'!$F$7:$F$18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'Product_Analysis'!$E$7:$E$18</c:f>
              <c:strCache>
                <c:ptCount val="0"/>
              </c:strCache>
            </c:strRef>
          </c:cat>
          <c:val>
            <c:numRef>
              <c:f>'Product_Analysis'!$G$7:$G$18</c:f>
              <c:numCache>
                <c:formatCode>₹#,##0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Regional Revenue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'Region_Analysis'!$E$7:$E$10</c:f>
              <c:strCache>
                <c:ptCount val="0"/>
              </c:strCache>
            </c:strRef>
          </c:cat>
          <c:val>
            <c:numRef>
              <c:f>'Region_Analysis'!$F$7:$F$10</c:f>
              <c:numCache>
                <c:formatCode>₹#,##0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Regional Profit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'Region_Analysis'!$E$7:$E$10</c:f>
              <c:strCache>
                <c:ptCount val="0"/>
              </c:strCache>
            </c:strRef>
          </c:cat>
          <c:val>
            <c:numRef>
              <c:f>'Region_Analysis'!$F$7:$F$10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'Region_Analysis'!$E$7:$E$10</c:f>
              <c:strCache>
                <c:ptCount val="0"/>
              </c:strCache>
            </c:strRef>
          </c:cat>
          <c:val>
            <c:numRef>
              <c:f>'Region_Analysis'!$G$7:$G$10</c:f>
              <c:numCache>
                <c:formatCode>₹#,##0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16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c3237385ae4d6d"/>
        </a:graphicData>
      </a:graphic>
    </xdr:graphicFrame>
    <xdr:clientData/>
  </xdr:twoCellAnchor>
  <xdr:twoCellAnchor>
    <xdr:from>
      <xdr:col>10</xdr:col>
      <xdr:colOff>0</xdr:colOff>
      <xdr:row>16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1e2625a7cc4bf6"/>
        </a:graphicData>
      </a:graphic>
    </xdr:graphicFrame>
    <xdr:clientData/>
  </xdr:twoCellAnchor>
  <xdr:twoCellAnchor>
    <xdr:from>
      <xdr:col>4</xdr:col>
      <xdr:colOff>0</xdr:colOff>
      <xdr:row>31</xdr:row>
      <xdr:rowOff>0</xdr:rowOff>
    </xdr:from>
    <xdr:to>
      <xdr:col>11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eebe92d7ef45e5"/>
        </a:graphicData>
      </a:graphic>
    </xdr:graphicFrame>
    <xdr:clientData/>
  </xdr:twoCellAnchor>
  <xdr:twoCellAnchor>
    <xdr:from>
      <xdr:col>11</xdr:col>
      <xdr:colOff>0</xdr:colOff>
      <xdr:row>31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1aa02eb1104e9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868a50c1c94d1f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16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1a9704a2ea454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5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11a8c265724be8"/>
        </a:graphicData>
      </a:graphic>
    </xdr:graphicFrame>
    <xdr:clientData/>
  </xdr:twoCellAnchor>
  <xdr:twoCellAnchor>
    <xdr:from>
      <xdr:col>10</xdr:col>
      <xdr:colOff>0</xdr:colOff>
      <xdr:row>22</xdr:row>
      <xdr:rowOff>0</xdr:rowOff>
    </xdr:from>
    <xdr:to>
      <xdr:col>16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93fc29f15f48ca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4</xdr:col>
      <xdr:colOff>0</xdr:colOff>
      <xdr:row>13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165b8732df466b"/>
        </a:graphicData>
      </a:graphic>
    </xdr:graphicFrame>
    <xdr:clientData/>
  </xdr:twoCellAnchor>
  <xdr:twoCellAnchor>
    <xdr:from>
      <xdr:col>10</xdr:col>
      <xdr:colOff>0</xdr:colOff>
      <xdr:row>13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aa4b9ac0d648c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SalesRaw" displayName="tblSalesRaw" ref="A1:W301" headerRowCount="1">
  <x:tableColumns count="23">
    <x:tableColumn id="1" name="Order ID"/>
    <x:tableColumn id="2" name="Date"/>
    <x:tableColumn id="3" name="Month"/>
    <x:tableColumn id="4" name="Quarter"/>
    <x:tableColumn id="5" name="Region"/>
    <x:tableColumn id="6" name="City"/>
    <x:tableColumn id="7" name="Sales Executive"/>
    <x:tableColumn id="8" name="Product Category"/>
    <x:tableColumn id="9" name="Product Name"/>
    <x:tableColumn id="10" name="Units Sold"/>
    <x:tableColumn id="11" name="Selling Price"/>
    <x:tableColumn id="12" name="Revenue"/>
    <x:tableColumn id="13" name="Cost"/>
    <x:tableColumn id="14" name="Profit"/>
    <x:tableColumn id="15" name="Profit Margin %"/>
    <x:tableColumn id="16" name="Customer Type"/>
    <x:tableColumn id="17" name="Sales Channel"/>
    <x:tableColumn id="18" name="Target Sales"/>
    <x:tableColumn id="19" name="Achievement %"/>
    <x:tableColumn id="20" name="Growth %"/>
    <x:tableColumn id="21" name="Order Status"/>
    <x:tableColumn id="22" name="Discount %"/>
    <x:tableColumn id="23" name="Rat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17d2c045a1443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22dce66e914840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cb59497b2caf41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3.xml" Id="Rc88d594a0674491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4.xml" Id="R91d542c9bf5b429a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6"/>
      <x:c r="B1" s="6"/>
      <x:c r="C1" s="6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10" t="str">
        <x:v>SalesIQ</x:v>
      </x:c>
      <x:c r="B2" s="10"/>
      <x:c r="C2" s="10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63" t="str">
        <x:v>TOTAL REVENUE</x:v>
      </x:c>
      <x:c r="O2" s="63"/>
      <x:c r="P2" s="63"/>
      <x:c r="Q2" s="63"/>
    </x:row>
    <x:row r="3" ht="22" customHeight="1">
      <x:c r="A3" s="10"/>
      <x:c r="B3" s="10"/>
      <x:c r="C3" s="10"/>
      <x:c r="D3" s="4"/>
      <x:c r="E3" s="40" t="str">
        <x:v>Welcome to SalesIQ</x:v>
      </x:c>
      <x:c r="F3" s="40"/>
      <x:c r="G3" s="40"/>
      <x:c r="H3" s="40"/>
      <x:c r="I3" s="40"/>
      <x:c r="J3" s="40"/>
      <x:c r="K3" s="40"/>
      <x:c r="L3" s="40"/>
      <x:c r="M3" s="40"/>
      <x:c r="N3" s="56" t="n">
        <x:f>SUM(RAW_DATA!L2:L301)</x:f>
        <x:v>43267710</x:v>
      </x:c>
      <x:c r="O3" s="56"/>
      <x:c r="P3" s="56"/>
      <x:c r="Q3" s="56"/>
    </x:row>
    <x:row r="4" ht="22" customHeight="1">
      <x:c r="A4" s="10"/>
      <x:c r="B4" s="10"/>
      <x:c r="C4" s="10"/>
      <x:c r="D4" s="4"/>
      <x:c r="E4" s="40"/>
      <x:c r="F4" s="40"/>
      <x:c r="G4" s="40"/>
      <x:c r="H4" s="40"/>
      <x:c r="I4" s="40"/>
      <x:c r="J4" s="40"/>
      <x:c r="K4" s="40"/>
      <x:c r="L4" s="40"/>
      <x:c r="M4" s="40"/>
      <x:c r="N4" s="56"/>
      <x:c r="O4" s="56"/>
      <x:c r="P4" s="56"/>
      <x:c r="Q4" s="56"/>
    </x:row>
    <x:row r="5" ht="22" customHeight="1">
      <x:c r="A5" s="10"/>
      <x:c r="B5" s="10"/>
      <x:c r="C5" s="10"/>
      <x:c r="D5" s="4"/>
      <x:c r="E5" s="47" t="str">
        <x:v>Premium Sales &amp; Revenue Intelligence Dashboard
Upload sales data, explore interactive dashboards, track KPIs, forecast future performance and generate executive reports.</x:v>
      </x:c>
      <x:c r="F5" s="47"/>
      <x:c r="G5" s="47"/>
      <x:c r="H5" s="47"/>
      <x:c r="I5" s="47"/>
      <x:c r="J5" s="47"/>
      <x:c r="K5" s="47"/>
      <x:c r="L5" s="47"/>
      <x:c r="M5" s="47"/>
      <x:c r="N5" s="56"/>
      <x:c r="O5" s="56"/>
      <x:c r="P5" s="56"/>
      <x:c r="Q5" s="56"/>
    </x:row>
    <x:row r="6" ht="22" customHeight="1">
      <x:c r="A6" s="6"/>
      <x:c r="B6" s="6"/>
      <x:c r="C6" s="6"/>
      <x:c r="D6" s="4"/>
      <x:c r="E6" s="47"/>
      <x:c r="F6" s="47"/>
      <x:c r="G6" s="47"/>
      <x:c r="H6" s="47"/>
      <x:c r="I6" s="47"/>
      <x:c r="J6" s="47"/>
      <x:c r="K6" s="47"/>
      <x:c r="L6" s="47"/>
      <x:c r="M6" s="47"/>
      <x:c r="N6" s="56"/>
      <x:c r="O6" s="56"/>
      <x:c r="P6" s="56"/>
      <x:c r="Q6" s="56"/>
    </x:row>
    <x:row r="7" ht="22" customHeight="1">
      <x:c r="A7" s="17" t="str">
        <x:v>Home</x:v>
      </x:c>
      <x:c r="B7" s="17"/>
      <x:c r="C7" s="17"/>
      <x:c r="D7" s="4"/>
      <x:c r="E7" s="47"/>
      <x:c r="F7" s="47"/>
      <x:c r="G7" s="47"/>
      <x:c r="H7" s="47"/>
      <x:c r="I7" s="47"/>
      <x:c r="J7" s="47"/>
      <x:c r="K7" s="47"/>
      <x:c r="L7" s="47"/>
      <x:c r="M7" s="47"/>
      <x:c r="N7" s="56"/>
      <x:c r="O7" s="56"/>
      <x:c r="P7" s="56"/>
      <x:c r="Q7" s="56"/>
    </x:row>
    <x:row r="8" ht="22" customHeight="1">
      <x:c r="A8" s="17"/>
      <x:c r="B8" s="17"/>
      <x:c r="C8" s="17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</x:row>
    <x:row r="9" ht="22" customHeight="1">
      <x:c r="A9" s="6"/>
      <x:c r="B9" s="6"/>
      <x:c r="C9" s="6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</x:row>
    <x:row r="10" ht="22" customHeight="1">
      <x:c r="A10" s="24" t="str">
        <x:v>Dashboard</x:v>
      </x:c>
      <x:c r="B10" s="24"/>
      <x:c r="C10" s="24"/>
      <x:c r="D10" s="4"/>
      <x:c r="E10" s="70" t="str">
        <x:v>UPLOAD CSV
Import your sales data
from CSV file
OPEN</x:v>
      </x:c>
      <x:c r="F10" s="70"/>
      <x:c r="G10" s="70"/>
      <x:c r="H10" s="79" t="str">
        <x:v>OPEN DASHBOARD
View interactive dashboards
and analytics
OPEN</x:v>
      </x:c>
      <x:c r="I10" s="79"/>
      <x:c r="J10" s="79"/>
      <x:c r="K10" s="87" t="str">
        <x:v>KPI CENTER
Track key performance
indicators
OPEN</x:v>
      </x:c>
      <x:c r="L10" s="87"/>
      <x:c r="M10" s="87"/>
      <x:c r="N10" s="95" t="str">
        <x:v>FORECAST
Predict future sales &amp;
revenue
OPEN</x:v>
      </x:c>
      <x:c r="O10" s="95"/>
      <x:c r="P10" s="95"/>
      <x:c r="Q10" s="4"/>
    </x:row>
    <x:row r="11" ht="22" customHeight="1">
      <x:c r="A11" s="24"/>
      <x:c r="B11" s="24"/>
      <x:c r="C11" s="24"/>
      <x:c r="D11" s="4"/>
      <x:c r="E11" s="70"/>
      <x:c r="F11" s="70"/>
      <x:c r="G11" s="70"/>
      <x:c r="H11" s="79"/>
      <x:c r="I11" s="79"/>
      <x:c r="J11" s="79"/>
      <x:c r="K11" s="87"/>
      <x:c r="L11" s="87"/>
      <x:c r="M11" s="87"/>
      <x:c r="N11" s="95"/>
      <x:c r="O11" s="95"/>
      <x:c r="P11" s="95"/>
      <x:c r="Q11" s="4"/>
    </x:row>
    <x:row r="12" ht="22" customHeight="1">
      <x:c r="A12" s="6"/>
      <x:c r="B12" s="6"/>
      <x:c r="C12" s="6"/>
      <x:c r="D12" s="4"/>
      <x:c r="E12" s="70"/>
      <x:c r="F12" s="70"/>
      <x:c r="G12" s="70"/>
      <x:c r="H12" s="79"/>
      <x:c r="I12" s="79"/>
      <x:c r="J12" s="79"/>
      <x:c r="K12" s="87"/>
      <x:c r="L12" s="87"/>
      <x:c r="M12" s="87"/>
      <x:c r="N12" s="95"/>
      <x:c r="O12" s="95"/>
      <x:c r="P12" s="95"/>
      <x:c r="Q12" s="4"/>
    </x:row>
    <x:row r="13" ht="22" customHeight="1">
      <x:c r="A13" s="24" t="str">
        <x:v>KPI Center</x:v>
      </x:c>
      <x:c r="B13" s="24"/>
      <x:c r="C13" s="24"/>
      <x:c r="D13" s="4"/>
      <x:c r="E13" s="70"/>
      <x:c r="F13" s="70"/>
      <x:c r="G13" s="70"/>
      <x:c r="H13" s="79"/>
      <x:c r="I13" s="79"/>
      <x:c r="J13" s="79"/>
      <x:c r="K13" s="87"/>
      <x:c r="L13" s="87"/>
      <x:c r="M13" s="87"/>
      <x:c r="N13" s="95"/>
      <x:c r="O13" s="95"/>
      <x:c r="P13" s="95"/>
      <x:c r="Q13" s="4"/>
    </x:row>
    <x:row r="14" ht="22" customHeight="1">
      <x:c r="A14" s="24"/>
      <x:c r="B14" s="24"/>
      <x:c r="C14" s="24"/>
      <x:c r="D14" s="4"/>
      <x:c r="E14" s="70"/>
      <x:c r="F14" s="70"/>
      <x:c r="G14" s="70"/>
      <x:c r="H14" s="79"/>
      <x:c r="I14" s="79"/>
      <x:c r="J14" s="79"/>
      <x:c r="K14" s="87"/>
      <x:c r="L14" s="87"/>
      <x:c r="M14" s="87"/>
      <x:c r="N14" s="95"/>
      <x:c r="O14" s="95"/>
      <x:c r="P14" s="95"/>
      <x:c r="Q14" s="4"/>
    </x:row>
    <x:row r="15" ht="22" customHeight="1">
      <x:c r="A15" s="6"/>
      <x:c r="B15" s="6"/>
      <x:c r="C15" s="6"/>
      <x:c r="D15" s="4"/>
      <x:c r="E15" s="70"/>
      <x:c r="F15" s="70"/>
      <x:c r="G15" s="70"/>
      <x:c r="H15" s="79"/>
      <x:c r="I15" s="79"/>
      <x:c r="J15" s="79"/>
      <x:c r="K15" s="87"/>
      <x:c r="L15" s="87"/>
      <x:c r="M15" s="87"/>
      <x:c r="N15" s="95"/>
      <x:c r="O15" s="95"/>
      <x:c r="P15" s="95"/>
      <x:c r="Q15" s="4"/>
    </x:row>
    <x:row r="16" ht="22" customHeight="1">
      <x:c r="A16" s="24" t="str">
        <x:v>Forecast</x:v>
      </x:c>
      <x:c r="B16" s="24"/>
      <x:c r="C16" s="24"/>
      <x:c r="D16" s="4"/>
      <x:c r="E16" s="70"/>
      <x:c r="F16" s="70"/>
      <x:c r="G16" s="70"/>
      <x:c r="H16" s="79"/>
      <x:c r="I16" s="79"/>
      <x:c r="J16" s="79"/>
      <x:c r="K16" s="87"/>
      <x:c r="L16" s="87"/>
      <x:c r="M16" s="87"/>
      <x:c r="N16" s="95"/>
      <x:c r="O16" s="95"/>
      <x:c r="P16" s="95"/>
      <x:c r="Q16" s="4"/>
    </x:row>
    <x:row r="17" ht="22" customHeight="1">
      <x:c r="A17" s="24"/>
      <x:c r="B17" s="24"/>
      <x:c r="C17" s="24"/>
      <x:c r="D17" s="4"/>
      <x:c r="E17" s="70"/>
      <x:c r="F17" s="70"/>
      <x:c r="G17" s="70"/>
      <x:c r="H17" s="79"/>
      <x:c r="I17" s="79"/>
      <x:c r="J17" s="79"/>
      <x:c r="K17" s="87"/>
      <x:c r="L17" s="87"/>
      <x:c r="M17" s="87"/>
      <x:c r="N17" s="95"/>
      <x:c r="O17" s="95"/>
      <x:c r="P17" s="95"/>
      <x:c r="Q17" s="4"/>
    </x:row>
    <x:row r="18" ht="22" customHeight="1">
      <x:c r="A18" s="6"/>
      <x:c r="B18" s="6"/>
      <x:c r="C18" s="6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2" customHeight="1">
      <x:c r="A19" s="24" t="str">
        <x:v>Reports</x:v>
      </x:c>
      <x:c r="B19" s="24"/>
      <x:c r="C19" s="2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2" customHeight="1">
      <x:c r="A20" s="24"/>
      <x:c r="B20" s="24"/>
      <x:c r="C20" s="24"/>
      <x:c r="D20" s="4"/>
      <x:c r="E20" s="102" t="str">
        <x:v>LIVE BUSINESS SNAPSHOT</x:v>
      </x:c>
      <x:c r="F20" s="102"/>
      <x:c r="G20" s="102"/>
      <x:c r="H20" s="102"/>
      <x:c r="I20" s="102"/>
      <x:c r="J20" s="102"/>
      <x:c r="K20" s="102"/>
      <x:c r="L20" s="102"/>
      <x:c r="M20" s="102"/>
      <x:c r="N20" s="102"/>
      <x:c r="O20" s="102"/>
      <x:c r="P20" s="102"/>
      <x:c r="Q20" s="4"/>
    </x:row>
    <x:row r="21" ht="22" customHeight="1">
      <x:c r="A21" s="6"/>
      <x:c r="B21" s="6"/>
      <x:c r="C21" s="6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</x:row>
    <x:row r="22" ht="22" customHeight="1">
      <x:c r="A22" s="24" t="str">
        <x:v>Data Dictionary</x:v>
      </x:c>
      <x:c r="B22" s="24"/>
      <x:c r="C22" s="24"/>
      <x:c r="D22" s="4"/>
      <x:c r="E22" s="110" t="n">
        <x:f>COUNTA(RAW_DATA!A2:A301)</x:f>
        <x:v>300</x:v>
      </x:c>
      <x:c r="F22" s="110"/>
      <x:c r="G22" s="110"/>
      <x:c r="H22" s="110" t="n">
        <x:f>COUNTIFS(RAW_DATA!P2:P301,"New")+COUNTIFS(RAW_DATA!P2:P301,"Existing")</x:f>
        <x:v>300</x:v>
      </x:c>
      <x:c r="I22" s="110"/>
      <x:c r="J22" s="110"/>
      <x:c r="K22" s="118" t="n">
        <x:f>SUM(RAW_DATA!N2:N301)</x:f>
        <x:v>13710890</x:v>
      </x:c>
      <x:c r="L22" s="118"/>
      <x:c r="M22" s="118"/>
      <x:c r="N22" s="118" t="n">
        <x:f>SUM(RAW_DATA!L2:L301)/COUNTA(RAW_DATA!A2:A301)</x:f>
        <x:v>144225.7</x:v>
      </x:c>
      <x:c r="O22" s="118"/>
      <x:c r="P22" s="118"/>
      <x:c r="Q22" s="4"/>
    </x:row>
    <x:row r="23" ht="22" customHeight="1">
      <x:c r="A23" s="24"/>
      <x:c r="B23" s="24"/>
      <x:c r="C23" s="24"/>
      <x:c r="D23" s="4"/>
      <x:c r="E23" s="110"/>
      <x:c r="F23" s="110"/>
      <x:c r="G23" s="110"/>
      <x:c r="H23" s="110"/>
      <x:c r="I23" s="110"/>
      <x:c r="J23" s="110"/>
      <x:c r="K23" s="118"/>
      <x:c r="L23" s="118"/>
      <x:c r="M23" s="118"/>
      <x:c r="N23" s="118"/>
      <x:c r="O23" s="118"/>
      <x:c r="P23" s="118"/>
      <x:c r="Q23" s="4"/>
    </x:row>
    <x:row r="24" ht="22" customHeight="1">
      <x:c r="A24" s="6"/>
      <x:c r="B24" s="6"/>
      <x:c r="C24" s="6"/>
      <x:c r="D24" s="4"/>
      <x:c r="E24" s="110"/>
      <x:c r="F24" s="110"/>
      <x:c r="G24" s="110"/>
      <x:c r="H24" s="110"/>
      <x:c r="I24" s="110"/>
      <x:c r="J24" s="110"/>
      <x:c r="K24" s="118"/>
      <x:c r="L24" s="118"/>
      <x:c r="M24" s="118"/>
      <x:c r="N24" s="118"/>
      <x:c r="O24" s="118"/>
      <x:c r="P24" s="118"/>
      <x:c r="Q24" s="4"/>
    </x:row>
    <x:row r="25" ht="22" customHeight="1">
      <x:c r="A25" s="24" t="str">
        <x:v>Settings</x:v>
      </x:c>
      <x:c r="B25" s="24"/>
      <x:c r="C25" s="24"/>
      <x:c r="D25" s="4"/>
      <x:c r="E25" s="110"/>
      <x:c r="F25" s="110"/>
      <x:c r="G25" s="110"/>
      <x:c r="H25" s="110"/>
      <x:c r="I25" s="110"/>
      <x:c r="J25" s="110"/>
      <x:c r="K25" s="118"/>
      <x:c r="L25" s="118"/>
      <x:c r="M25" s="118"/>
      <x:c r="N25" s="118"/>
      <x:c r="O25" s="118"/>
      <x:c r="P25" s="118"/>
      <x:c r="Q25" s="4"/>
    </x:row>
    <x:row r="26" ht="22" customHeight="1">
      <x:c r="A26" s="24"/>
      <x:c r="B26" s="24"/>
      <x:c r="C26" s="24"/>
      <x:c r="D26" s="4"/>
      <x:c r="E26" s="110"/>
      <x:c r="F26" s="110"/>
      <x:c r="G26" s="110"/>
      <x:c r="H26" s="110"/>
      <x:c r="I26" s="110"/>
      <x:c r="J26" s="110"/>
      <x:c r="K26" s="118"/>
      <x:c r="L26" s="118"/>
      <x:c r="M26" s="118"/>
      <x:c r="N26" s="118"/>
      <x:c r="O26" s="118"/>
      <x:c r="P26" s="118"/>
      <x:c r="Q26" s="4"/>
    </x:row>
    <x:row r="27" ht="22" customHeight="1">
      <x:c r="A27" s="6"/>
      <x:c r="B27" s="6"/>
      <x:c r="C27" s="6"/>
      <x:c r="D27" s="4"/>
      <x:c r="E27" s="110"/>
      <x:c r="F27" s="110"/>
      <x:c r="G27" s="110"/>
      <x:c r="H27" s="110"/>
      <x:c r="I27" s="110"/>
      <x:c r="J27" s="110"/>
      <x:c r="K27" s="118"/>
      <x:c r="L27" s="118"/>
      <x:c r="M27" s="118"/>
      <x:c r="N27" s="118"/>
      <x:c r="O27" s="118"/>
      <x:c r="P27" s="118"/>
      <x:c r="Q27" s="4"/>
    </x:row>
    <x:row r="28" ht="22" customHeight="1">
      <x:c r="A28" s="6"/>
      <x:c r="B28" s="6"/>
      <x:c r="C28" s="6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2" customHeight="1">
      <x:c r="A29" s="6"/>
      <x:c r="B29" s="6"/>
      <x:c r="C29" s="6"/>
      <x:c r="D29" s="4"/>
      <x:c r="E29" s="125" t="str">
        <x:v>Tip: Use the Upload CSV button in the final macro-enabled workbook. All dashboards will refresh automatically after import.</x:v>
      </x:c>
      <x:c r="F29" s="125"/>
      <x:c r="G29" s="125"/>
      <x:c r="H29" s="125"/>
      <x:c r="I29" s="125"/>
      <x:c r="J29" s="125"/>
      <x:c r="K29" s="125"/>
      <x:c r="L29" s="125"/>
      <x:c r="M29" s="125"/>
      <x:c r="N29" s="125"/>
      <x:c r="O29" s="125"/>
      <x:c r="P29" s="125"/>
      <x:c r="Q29" s="4"/>
    </x:row>
    <x:row r="30" ht="22" customHeight="1">
      <x:c r="A30" s="6"/>
      <x:c r="B30" s="6"/>
      <x:c r="C30" s="6"/>
      <x:c r="D30" s="4"/>
      <x:c r="E30" s="125"/>
      <x:c r="F30" s="125"/>
      <x:c r="G30" s="125"/>
      <x:c r="H30" s="125"/>
      <x:c r="I30" s="125"/>
      <x:c r="J30" s="125"/>
      <x:c r="K30" s="125"/>
      <x:c r="L30" s="125"/>
      <x:c r="M30" s="125"/>
      <x:c r="N30" s="125"/>
      <x:c r="O30" s="125"/>
      <x:c r="P30" s="125"/>
      <x:c r="Q30" s="4"/>
    </x:row>
    <x:row r="31" ht="22" customHeight="1">
      <x:c r="A31" s="6"/>
      <x:c r="B31" s="6"/>
      <x:c r="C31" s="6"/>
      <x:c r="D31" s="4"/>
      <x:c r="E31" s="125"/>
      <x:c r="F31" s="125"/>
      <x:c r="G31" s="125"/>
      <x:c r="H31" s="125"/>
      <x:c r="I31" s="125"/>
      <x:c r="J31" s="125"/>
      <x:c r="K31" s="125"/>
      <x:c r="L31" s="125"/>
      <x:c r="M31" s="125"/>
      <x:c r="N31" s="125"/>
      <x:c r="O31" s="125"/>
      <x:c r="P31" s="125"/>
      <x:c r="Q31" s="4"/>
    </x:row>
    <x:row r="32" ht="22" customHeight="1">
      <x:c r="A32" s="6"/>
      <x:c r="B32" s="6"/>
      <x:c r="C32" s="6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2" customHeight="1">
      <x:c r="A33" s="6"/>
      <x:c r="B33" s="6"/>
      <x:c r="C33" s="6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2" customHeight="1">
      <x:c r="A34" s="6"/>
      <x:c r="B34" s="6"/>
      <x:c r="C34" s="6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2" customHeight="1">
      <x:c r="A35" s="6"/>
      <x:c r="B35" s="6"/>
      <x:c r="C35" s="6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2" customHeight="1">
      <x:c r="A36" s="6"/>
      <x:c r="B36" s="6"/>
      <x:c r="C36" s="6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2" customHeight="1">
      <x:c r="A37" s="6"/>
      <x:c r="B37" s="6"/>
      <x:c r="C37" s="6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2" customHeight="1">
      <x:c r="A38" s="6"/>
      <x:c r="B38" s="6"/>
      <x:c r="C38" s="6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2" customHeight="1">
      <x:c r="A39" s="32" t="str">
        <x:v>Last Updated
07-Aug-2026
10:51 AM</x:v>
      </x:c>
      <x:c r="B39" s="32"/>
      <x:c r="C39" s="32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2" customHeight="1">
      <x:c r="A40" s="32"/>
      <x:c r="B40" s="32"/>
      <x:c r="C40" s="32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2" customHeight="1">
      <x:c r="A41" s="32"/>
      <x:c r="B41" s="32"/>
      <x:c r="C41" s="32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2" customHeight="1">
      <x:c r="A42" s="32"/>
      <x:c r="B42" s="32"/>
      <x:c r="C42" s="32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2" customHeight="1">
      <x:c r="A43" s="32"/>
      <x:c r="B43" s="32"/>
      <x:c r="C43" s="32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2" customHeight="1">
      <x:c r="A44" s="6"/>
      <x:c r="B44" s="6"/>
      <x:c r="C44" s="6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2" customHeight="1">
      <x:c r="A45" s="6"/>
      <x:c r="B45" s="6"/>
      <x:c r="C45" s="6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39:C43"/>
    <x:mergeCell ref="E3:M4"/>
    <x:mergeCell ref="E5:M7"/>
    <x:mergeCell ref="N3:Q7"/>
    <x:mergeCell ref="N2:Q2"/>
    <x:mergeCell ref="E10:G17"/>
    <x:mergeCell ref="H10:J17"/>
    <x:mergeCell ref="K10:M17"/>
    <x:mergeCell ref="N10:P17"/>
    <x:mergeCell ref="E20:P20"/>
    <x:mergeCell ref="E22:G27"/>
    <x:mergeCell ref="H22:J27"/>
    <x:mergeCell ref="K22:M27"/>
    <x:mergeCell ref="N22:P27"/>
    <x:mergeCell ref="E29:P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258"/>
      <x:c r="B1" s="258"/>
      <x:c r="C1" s="258"/>
      <x:c r="D1" s="239"/>
      <x:c r="E1" s="239"/>
      <x:c r="F1" s="239"/>
      <x:c r="G1" s="239"/>
      <x:c r="H1" s="239"/>
      <x:c r="I1" s="239"/>
      <x:c r="J1" s="239"/>
      <x:c r="K1" s="239"/>
      <x:c r="L1" s="239"/>
      <x:c r="M1" s="239"/>
      <x:c r="N1" s="239"/>
      <x:c r="O1" s="239"/>
      <x:c r="P1" s="239"/>
      <x:c r="Q1" s="239"/>
    </x:row>
    <x:row r="2" ht="22" customHeight="1">
      <x:c r="A2" s="263" t="str">
        <x:v>SalesIQ</x:v>
      </x:c>
      <x:c r="B2" s="263"/>
      <x:c r="C2" s="263"/>
      <x:c r="D2" s="239"/>
      <x:c r="E2" s="241" t="str">
        <x:v>Executive Dashboard</x:v>
      </x:c>
      <x:c r="F2" s="241"/>
      <x:c r="G2" s="241"/>
      <x:c r="H2" s="241"/>
      <x:c r="I2" s="241"/>
      <x:c r="J2" s="241"/>
      <x:c r="K2" s="241"/>
      <x:c r="L2" s="241"/>
      <x:c r="M2" s="241"/>
      <x:c r="N2" s="241"/>
      <x:c r="O2" s="241"/>
      <x:c r="P2" s="241"/>
      <x:c r="Q2" s="239"/>
    </x:row>
    <x:row r="3" ht="22" customHeight="1">
      <x:c r="A3" s="263"/>
      <x:c r="B3" s="263"/>
      <x:c r="C3" s="263"/>
      <x:c r="D3" s="239"/>
      <x:c r="E3" s="241"/>
      <x:c r="F3" s="241"/>
      <x:c r="G3" s="241"/>
      <x:c r="H3" s="241"/>
      <x:c r="I3" s="241"/>
      <x:c r="J3" s="241"/>
      <x:c r="K3" s="241"/>
      <x:c r="L3" s="241"/>
      <x:c r="M3" s="241"/>
      <x:c r="N3" s="241"/>
      <x:c r="O3" s="241"/>
      <x:c r="P3" s="241"/>
      <x:c r="Q3" s="239"/>
    </x:row>
    <x:row r="4" ht="22" customHeight="1">
      <x:c r="A4" s="263"/>
      <x:c r="B4" s="263"/>
      <x:c r="C4" s="263"/>
      <x:c r="D4" s="239"/>
      <x:c r="E4" s="273" t="str">
        <x:v>Live sales performance | Revenue • Profit • Growth • Targets • Forecast • Customer Mix</x:v>
      </x:c>
      <x:c r="F4" s="273"/>
      <x:c r="G4" s="273"/>
      <x:c r="H4" s="273"/>
      <x:c r="I4" s="273"/>
      <x:c r="J4" s="273"/>
      <x:c r="K4" s="273"/>
      <x:c r="L4" s="273"/>
      <x:c r="M4" s="273"/>
      <x:c r="N4" s="273"/>
      <x:c r="O4" s="273"/>
      <x:c r="P4" s="273"/>
      <x:c r="Q4" s="239"/>
    </x:row>
    <x:row r="5" ht="22" customHeight="1">
      <x:c r="A5" s="263"/>
      <x:c r="B5" s="263"/>
      <x:c r="C5" s="263"/>
      <x:c r="D5" s="239"/>
      <x:c r="E5" s="251" t="n">
        <x:f>SUM(RAW_DATA!L2:L301)</x:f>
        <x:v>43267710</x:v>
      </x:c>
      <x:c r="F5" s="251"/>
      <x:c r="G5" s="251"/>
      <x:c r="H5" s="251" t="n">
        <x:f>SUM(RAW_DATA!N2:N301)</x:f>
        <x:v>13710890</x:v>
      </x:c>
      <x:c r="I5" s="251"/>
      <x:c r="J5" s="251"/>
      <x:c r="K5" s="252" t="n">
        <x:f>SUM(RAW_DATA!J2:J301)</x:f>
        <x:v>2443</x:v>
      </x:c>
      <x:c r="L5" s="252"/>
      <x:c r="M5" s="252"/>
      <x:c r="N5" s="253" t="n">
        <x:f>SUM(RAW_DATA!L2:L301)/SUM(RAW_DATA!R2:R301)</x:f>
        <x:v>0.952246712517194</x:v>
      </x:c>
      <x:c r="O5" s="253"/>
      <x:c r="P5" s="253"/>
      <x:c r="Q5" s="239"/>
    </x:row>
    <x:row r="6" ht="22" customHeight="1">
      <x:c r="A6" s="258"/>
      <x:c r="B6" s="258"/>
      <x:c r="C6" s="258"/>
      <x:c r="D6" s="239"/>
      <x:c r="E6" s="278" t="n">
        <x:f>SUM(RAW_DATA!L2:L301)</x:f>
        <x:v>43267710</x:v>
      </x:c>
      <x:c r="F6" s="278"/>
      <x:c r="G6" s="278"/>
      <x:c r="H6" s="278" t="n">
        <x:f>SUM(RAW_DATA!N2:N301)</x:f>
        <x:v>13710890</x:v>
      </x:c>
      <x:c r="I6" s="278"/>
      <x:c r="J6" s="278"/>
      <x:c r="K6" s="285" t="n">
        <x:f>SUM(RAW_DATA!L2:L301)/SUM(RAW_DATA!R2:R301)</x:f>
        <x:v>0.952246712517194</x:v>
      </x:c>
      <x:c r="L6" s="285"/>
      <x:c r="M6" s="285"/>
      <x:c r="N6" s="278" t="n">
        <x:f>Forecast!I5</x:f>
        <x:v>5572856.924449065</x:v>
      </x:c>
      <x:c r="O6" s="278"/>
      <x:c r="P6" s="278"/>
      <x:c r="Q6" s="239"/>
    </x:row>
    <x:row r="7" ht="22" customHeight="1">
      <x:c r="A7" s="265" t="str">
        <x:v>Home</x:v>
      </x:c>
      <x:c r="B7" s="265"/>
      <x:c r="C7" s="265"/>
      <x:c r="D7" s="239"/>
      <x:c r="E7" s="278"/>
      <x:c r="F7" s="278"/>
      <x:c r="G7" s="278"/>
      <x:c r="H7" s="278"/>
      <x:c r="I7" s="278"/>
      <x:c r="J7" s="278"/>
      <x:c r="K7" s="285"/>
      <x:c r="L7" s="285"/>
      <x:c r="M7" s="285"/>
      <x:c r="N7" s="278"/>
      <x:c r="O7" s="278"/>
      <x:c r="P7" s="278"/>
      <x:c r="Q7" s="239"/>
    </x:row>
    <x:row r="8" ht="22" customHeight="1">
      <x:c r="A8" s="265"/>
      <x:c r="B8" s="265"/>
      <x:c r="C8" s="265"/>
      <x:c r="D8" s="239"/>
      <x:c r="E8" s="278"/>
      <x:c r="F8" s="278"/>
      <x:c r="G8" s="278"/>
      <x:c r="H8" s="278"/>
      <x:c r="I8" s="278"/>
      <x:c r="J8" s="278"/>
      <x:c r="K8" s="285"/>
      <x:c r="L8" s="285"/>
      <x:c r="M8" s="285"/>
      <x:c r="N8" s="278"/>
      <x:c r="O8" s="278"/>
      <x:c r="P8" s="278"/>
      <x:c r="Q8" s="239"/>
    </x:row>
    <x:row r="9" ht="22" customHeight="1">
      <x:c r="A9" s="258"/>
      <x:c r="B9" s="258"/>
      <x:c r="C9" s="258"/>
      <x:c r="D9" s="239"/>
      <x:c r="E9" s="278"/>
      <x:c r="F9" s="278"/>
      <x:c r="G9" s="278"/>
      <x:c r="H9" s="278"/>
      <x:c r="I9" s="278"/>
      <x:c r="J9" s="278"/>
      <x:c r="K9" s="285"/>
      <x:c r="L9" s="285"/>
      <x:c r="M9" s="285"/>
      <x:c r="N9" s="278"/>
      <x:c r="O9" s="278"/>
      <x:c r="P9" s="278"/>
      <x:c r="Q9" s="239"/>
    </x:row>
    <x:row r="10" ht="22" customHeight="1">
      <x:c r="A10" s="267" t="str">
        <x:v>Dashboard</x:v>
      </x:c>
      <x:c r="B10" s="267"/>
      <x:c r="C10" s="267"/>
      <x:c r="D10" s="239"/>
      <x:c r="E10" s="278"/>
      <x:c r="F10" s="278"/>
      <x:c r="G10" s="278"/>
      <x:c r="H10" s="278"/>
      <x:c r="I10" s="278"/>
      <x:c r="J10" s="278"/>
      <x:c r="K10" s="285"/>
      <x:c r="L10" s="285"/>
      <x:c r="M10" s="285"/>
      <x:c r="N10" s="278"/>
      <x:c r="O10" s="278"/>
      <x:c r="P10" s="278"/>
      <x:c r="Q10" s="239"/>
    </x:row>
    <x:row r="11" ht="22" customHeight="1">
      <x:c r="A11" s="267"/>
      <x:c r="B11" s="267"/>
      <x:c r="C11" s="267"/>
      <x:c r="D11" s="239"/>
      <x:c r="E11" s="239"/>
      <x:c r="F11" s="239"/>
      <x:c r="G11" s="239"/>
      <x:c r="H11" s="239"/>
      <x:c r="I11" s="239"/>
      <x:c r="J11" s="239"/>
      <x:c r="K11" s="239"/>
      <x:c r="L11" s="239"/>
      <x:c r="M11" s="239"/>
      <x:c r="N11" s="239"/>
      <x:c r="O11" s="239"/>
      <x:c r="P11" s="239"/>
      <x:c r="Q11" s="239"/>
    </x:row>
    <x:row r="12" ht="22" customHeight="1">
      <x:c r="A12" s="258"/>
      <x:c r="B12" s="258"/>
      <x:c r="C12" s="258"/>
      <x:c r="D12" s="239"/>
      <x:c r="E12" s="295" t="n">
        <x:f>SUM(RAW_DATA!L2:L301)/COUNTA(RAW_DATA!A2:A301)</x:f>
        <x:v>144225.7</x:v>
      </x:c>
      <x:c r="F12" s="295"/>
      <x:c r="G12" s="295"/>
      <x:c r="H12" s="300" t="n">
        <x:f>SUM(RAW_DATA!N2:N301)/SUM(RAW_DATA!L2:L301)</x:f>
        <x:v>0.31688503967508336</x:v>
      </x:c>
      <x:c r="I12" s="300"/>
      <x:c r="J12" s="300"/>
      <x:c r="K12" s="305" t="n">
        <x:f>COUNTIFS(RAW_DATA!U2:U301,"Completed")/COUNTA(RAW_DATA!A2:A301)</x:f>
        <x:v>0.9066666666666666</x:v>
      </x:c>
      <x:c r="L12" s="305"/>
      <x:c r="M12" s="305"/>
      <x:c r="N12" s="310" t="n">
        <x:f>AVERAGE(RAW_DATA!W2:W301)</x:f>
        <x:v>4.184999999999998</x:v>
      </x:c>
      <x:c r="O12" s="310"/>
      <x:c r="P12" s="310"/>
      <x:c r="Q12" s="239"/>
    </x:row>
    <x:row r="13" ht="22" customHeight="1">
      <x:c r="A13" s="265" t="str">
        <x:v>KPI Center</x:v>
      </x:c>
      <x:c r="B13" s="265"/>
      <x:c r="C13" s="265"/>
      <x:c r="D13" s="239"/>
      <x:c r="E13" s="295"/>
      <x:c r="F13" s="295"/>
      <x:c r="G13" s="295"/>
      <x:c r="H13" s="300"/>
      <x:c r="I13" s="300"/>
      <x:c r="J13" s="300"/>
      <x:c r="K13" s="305"/>
      <x:c r="L13" s="305"/>
      <x:c r="M13" s="305"/>
      <x:c r="N13" s="310"/>
      <x:c r="O13" s="310"/>
      <x:c r="P13" s="310"/>
      <x:c r="Q13" s="239"/>
    </x:row>
    <x:row r="14" ht="22" customHeight="1">
      <x:c r="A14" s="265"/>
      <x:c r="B14" s="265"/>
      <x:c r="C14" s="265"/>
      <x:c r="D14" s="239"/>
      <x:c r="E14" s="295"/>
      <x:c r="F14" s="295"/>
      <x:c r="G14" s="295"/>
      <x:c r="H14" s="300"/>
      <x:c r="I14" s="300"/>
      <x:c r="J14" s="300"/>
      <x:c r="K14" s="305"/>
      <x:c r="L14" s="305"/>
      <x:c r="M14" s="305"/>
      <x:c r="N14" s="310"/>
      <x:c r="O14" s="310"/>
      <x:c r="P14" s="310"/>
      <x:c r="Q14" s="239"/>
    </x:row>
    <x:row r="15" ht="22" customHeight="1">
      <x:c r="A15" s="258"/>
      <x:c r="B15" s="258"/>
      <x:c r="C15" s="258"/>
      <x:c r="D15" s="239"/>
      <x:c r="E15" s="295"/>
      <x:c r="F15" s="295"/>
      <x:c r="G15" s="295"/>
      <x:c r="H15" s="300"/>
      <x:c r="I15" s="300"/>
      <x:c r="J15" s="300"/>
      <x:c r="K15" s="305"/>
      <x:c r="L15" s="305"/>
      <x:c r="M15" s="305"/>
      <x:c r="N15" s="310"/>
      <x:c r="O15" s="310"/>
      <x:c r="P15" s="310"/>
      <x:c r="Q15" s="239"/>
    </x:row>
    <x:row r="16" ht="22" customHeight="1">
      <x:c r="A16" s="265" t="str">
        <x:v>Forecast</x:v>
      </x:c>
      <x:c r="B16" s="265"/>
      <x:c r="C16" s="265"/>
      <x:c r="D16" s="239"/>
      <x:c r="E16" s="239"/>
      <x:c r="F16" s="239"/>
      <x:c r="G16" s="239"/>
      <x:c r="H16" s="239"/>
      <x:c r="I16" s="239"/>
      <x:c r="J16" s="239"/>
      <x:c r="K16" s="239"/>
      <x:c r="L16" s="239"/>
      <x:c r="M16" s="239"/>
      <x:c r="N16" s="239"/>
      <x:c r="O16" s="239"/>
      <x:c r="P16" s="239"/>
      <x:c r="Q16" s="239"/>
    </x:row>
    <x:row r="17" ht="22" customHeight="1">
      <x:c r="A17" s="265"/>
      <x:c r="B17" s="265"/>
      <x:c r="C17" s="265"/>
      <x:c r="D17" s="239"/>
      <x:c r="E17" s="239"/>
      <x:c r="F17" s="239"/>
      <x:c r="G17" s="239"/>
      <x:c r="H17" s="239"/>
      <x:c r="I17" s="239"/>
      <x:c r="J17" s="239"/>
      <x:c r="K17" s="239"/>
      <x:c r="L17" s="239"/>
      <x:c r="M17" s="239"/>
      <x:c r="N17" s="239"/>
      <x:c r="O17" s="239"/>
      <x:c r="P17" s="239"/>
      <x:c r="Q17" s="239"/>
    </x:row>
    <x:row r="18" ht="22" customHeight="1">
      <x:c r="A18" s="258"/>
      <x:c r="B18" s="258"/>
      <x:c r="C18" s="258"/>
      <x:c r="D18" s="239"/>
      <x:c r="E18" s="239"/>
      <x:c r="F18" s="239"/>
      <x:c r="G18" s="239"/>
      <x:c r="H18" s="239"/>
      <x:c r="I18" s="239"/>
      <x:c r="J18" s="239"/>
      <x:c r="K18" s="239"/>
      <x:c r="L18" s="239"/>
      <x:c r="M18" s="239"/>
      <x:c r="N18" s="239"/>
      <x:c r="O18" s="239"/>
      <x:c r="P18" s="239"/>
      <x:c r="Q18" s="239"/>
    </x:row>
    <x:row r="19" ht="22" customHeight="1">
      <x:c r="A19" s="265" t="str">
        <x:v>Product Analysis</x:v>
      </x:c>
      <x:c r="B19" s="265"/>
      <x:c r="C19" s="265"/>
      <x:c r="D19" s="239"/>
      <x:c r="E19" s="239"/>
      <x:c r="F19" s="239"/>
      <x:c r="G19" s="239"/>
      <x:c r="H19" s="239"/>
      <x:c r="I19" s="239"/>
      <x:c r="J19" s="239"/>
      <x:c r="K19" s="239"/>
      <x:c r="L19" s="239"/>
      <x:c r="M19" s="239"/>
      <x:c r="N19" s="239"/>
      <x:c r="O19" s="239"/>
      <x:c r="P19" s="239"/>
      <x:c r="Q19" s="239"/>
    </x:row>
    <x:row r="20" ht="22" customHeight="1">
      <x:c r="A20" s="265"/>
      <x:c r="B20" s="265"/>
      <x:c r="C20" s="265"/>
      <x:c r="D20" s="239"/>
      <x:c r="E20" s="239"/>
      <x:c r="F20" s="239"/>
      <x:c r="G20" s="239"/>
      <x:c r="H20" s="239"/>
      <x:c r="I20" s="239"/>
      <x:c r="J20" s="239"/>
      <x:c r="K20" s="239"/>
      <x:c r="L20" s="239"/>
      <x:c r="M20" s="239"/>
      <x:c r="N20" s="239"/>
      <x:c r="O20" s="239"/>
      <x:c r="P20" s="239"/>
      <x:c r="Q20" s="239"/>
    </x:row>
    <x:row r="21" ht="22" customHeight="1">
      <x:c r="A21" s="258"/>
      <x:c r="B21" s="258"/>
      <x:c r="C21" s="258"/>
      <x:c r="D21" s="239"/>
      <x:c r="E21" s="239"/>
      <x:c r="F21" s="239"/>
      <x:c r="G21" s="239"/>
      <x:c r="H21" s="239"/>
      <x:c r="I21" s="239"/>
      <x:c r="J21" s="239"/>
      <x:c r="K21" s="239"/>
      <x:c r="L21" s="239"/>
      <x:c r="M21" s="239"/>
      <x:c r="N21" s="239"/>
      <x:c r="O21" s="239"/>
      <x:c r="P21" s="239"/>
      <x:c r="Q21" s="239"/>
    </x:row>
    <x:row r="22" ht="22" customHeight="1">
      <x:c r="A22" s="265" t="str">
        <x:v>Region Analysis</x:v>
      </x:c>
      <x:c r="B22" s="265"/>
      <x:c r="C22" s="265"/>
      <x:c r="D22" s="239"/>
      <x:c r="E22" s="239"/>
      <x:c r="F22" s="239"/>
      <x:c r="G22" s="239"/>
      <x:c r="H22" s="239"/>
      <x:c r="I22" s="239"/>
      <x:c r="J22" s="239"/>
      <x:c r="K22" s="239"/>
      <x:c r="L22" s="239"/>
      <x:c r="M22" s="239"/>
      <x:c r="N22" s="239"/>
      <x:c r="O22" s="239"/>
      <x:c r="P22" s="239"/>
      <x:c r="Q22" s="239"/>
    </x:row>
    <x:row r="23" ht="22" customHeight="1">
      <x:c r="A23" s="265"/>
      <x:c r="B23" s="265"/>
      <x:c r="C23" s="265"/>
      <x:c r="D23" s="239"/>
      <x:c r="E23" s="239"/>
      <x:c r="F23" s="239"/>
      <x:c r="G23" s="239"/>
      <x:c r="H23" s="239"/>
      <x:c r="I23" s="239"/>
      <x:c r="J23" s="239"/>
      <x:c r="K23" s="239"/>
      <x:c r="L23" s="239"/>
      <x:c r="M23" s="239"/>
      <x:c r="N23" s="239"/>
      <x:c r="O23" s="239"/>
      <x:c r="P23" s="239"/>
      <x:c r="Q23" s="239"/>
    </x:row>
    <x:row r="24" ht="22" customHeight="1">
      <x:c r="A24" s="258"/>
      <x:c r="B24" s="258"/>
      <x:c r="C24" s="258"/>
      <x:c r="D24" s="239"/>
      <x:c r="E24" s="239"/>
      <x:c r="F24" s="239"/>
      <x:c r="G24" s="239"/>
      <x:c r="H24" s="239"/>
      <x:c r="I24" s="239"/>
      <x:c r="J24" s="239"/>
      <x:c r="K24" s="239"/>
      <x:c r="L24" s="239"/>
      <x:c r="M24" s="239"/>
      <x:c r="N24" s="239"/>
      <x:c r="O24" s="239"/>
      <x:c r="P24" s="239"/>
      <x:c r="Q24" s="239"/>
    </x:row>
    <x:row r="25" ht="22" customHeight="1">
      <x:c r="A25" s="265" t="str">
        <x:v>AI Insights</x:v>
      </x:c>
      <x:c r="B25" s="265"/>
      <x:c r="C25" s="265"/>
      <x:c r="D25" s="239"/>
      <x:c r="E25" s="239"/>
      <x:c r="F25" s="239"/>
      <x:c r="G25" s="239"/>
      <x:c r="H25" s="239"/>
      <x:c r="I25" s="239"/>
      <x:c r="J25" s="239"/>
      <x:c r="K25" s="239"/>
      <x:c r="L25" s="239"/>
      <x:c r="M25" s="239"/>
      <x:c r="N25" s="239"/>
      <x:c r="O25" s="239"/>
      <x:c r="P25" s="239"/>
      <x:c r="Q25" s="239"/>
    </x:row>
    <x:row r="26" ht="22" customHeight="1">
      <x:c r="A26" s="265"/>
      <x:c r="B26" s="265"/>
      <x:c r="C26" s="265"/>
      <x:c r="D26" s="239"/>
      <x:c r="E26" s="239"/>
      <x:c r="F26" s="239"/>
      <x:c r="G26" s="239"/>
      <x:c r="H26" s="239"/>
      <x:c r="I26" s="239"/>
      <x:c r="J26" s="239"/>
      <x:c r="K26" s="239"/>
      <x:c r="L26" s="239"/>
      <x:c r="M26" s="239"/>
      <x:c r="N26" s="239"/>
      <x:c r="O26" s="239"/>
      <x:c r="P26" s="239"/>
      <x:c r="Q26" s="239"/>
    </x:row>
    <x:row r="27" ht="22" customHeight="1">
      <x:c r="A27" s="258"/>
      <x:c r="B27" s="258"/>
      <x:c r="C27" s="258"/>
      <x:c r="D27" s="239"/>
      <x:c r="E27" s="239"/>
      <x:c r="F27" s="239"/>
      <x:c r="G27" s="239"/>
      <x:c r="H27" s="239"/>
      <x:c r="I27" s="239"/>
      <x:c r="J27" s="239"/>
      <x:c r="K27" s="239"/>
      <x:c r="L27" s="239"/>
      <x:c r="M27" s="239"/>
      <x:c r="N27" s="239"/>
      <x:c r="O27" s="239"/>
      <x:c r="P27" s="239"/>
      <x:c r="Q27" s="239"/>
    </x:row>
    <x:row r="28" ht="22" customHeight="1">
      <x:c r="A28" s="265" t="str">
        <x:v>Reports</x:v>
      </x:c>
      <x:c r="B28" s="265"/>
      <x:c r="C28" s="265"/>
      <x:c r="D28" s="239"/>
      <x:c r="E28" s="239"/>
      <x:c r="F28" s="239"/>
      <x:c r="G28" s="239"/>
      <x:c r="H28" s="239"/>
      <x:c r="I28" s="239"/>
      <x:c r="J28" s="239"/>
      <x:c r="K28" s="239"/>
      <x:c r="L28" s="239"/>
      <x:c r="M28" s="239"/>
      <x:c r="N28" s="239"/>
      <x:c r="O28" s="239"/>
      <x:c r="P28" s="239"/>
      <x:c r="Q28" s="239"/>
    </x:row>
    <x:row r="29" ht="22" customHeight="1">
      <x:c r="A29" s="265"/>
      <x:c r="B29" s="265"/>
      <x:c r="C29" s="265"/>
      <x:c r="D29" s="239"/>
      <x:c r="E29" s="239"/>
      <x:c r="F29" s="239"/>
      <x:c r="G29" s="239"/>
      <x:c r="H29" s="239"/>
      <x:c r="I29" s="239"/>
      <x:c r="J29" s="239"/>
      <x:c r="K29" s="239"/>
      <x:c r="L29" s="239"/>
      <x:c r="M29" s="239"/>
      <x:c r="N29" s="256" t="str">
        <x:v>SMART INSIGHTS
• Strongest region updates automatically.
• Profit leaders are calculated from current data.
• Forecast page estimates next-month revenue.
• Upload a new CSV to refresh the entire workbook.</x:v>
      </x:c>
      <x:c r="O29" s="256"/>
      <x:c r="P29" s="256"/>
      <x:c r="Q29" s="239"/>
    </x:row>
    <x:row r="30" ht="22" customHeight="1">
      <x:c r="A30" s="258"/>
      <x:c r="B30" s="258"/>
      <x:c r="C30" s="258"/>
      <x:c r="D30" s="239"/>
      <x:c r="E30" s="239"/>
      <x:c r="F30" s="239"/>
      <x:c r="G30" s="239"/>
      <x:c r="H30" s="239"/>
      <x:c r="I30" s="239"/>
      <x:c r="J30" s="239"/>
      <x:c r="K30" s="239"/>
      <x:c r="L30" s="239"/>
      <x:c r="M30" s="239"/>
      <x:c r="N30" s="256"/>
      <x:c r="O30" s="256"/>
      <x:c r="P30" s="256"/>
      <x:c r="Q30" s="239"/>
    </x:row>
    <x:row r="31" ht="22" customHeight="1">
      <x:c r="A31" s="265" t="str">
        <x:v>Settings</x:v>
      </x:c>
      <x:c r="B31" s="265"/>
      <x:c r="C31" s="265"/>
      <x:c r="D31" s="239"/>
      <x:c r="E31" s="239"/>
      <x:c r="F31" s="239"/>
      <x:c r="G31" s="239"/>
      <x:c r="H31" s="239"/>
      <x:c r="I31" s="239"/>
      <x:c r="J31" s="239"/>
      <x:c r="K31" s="239"/>
      <x:c r="L31" s="239"/>
      <x:c r="M31" s="239"/>
      <x:c r="N31" s="256"/>
      <x:c r="O31" s="256"/>
      <x:c r="P31" s="256"/>
      <x:c r="Q31" s="239"/>
    </x:row>
    <x:row r="32" ht="22" customHeight="1">
      <x:c r="A32" s="265"/>
      <x:c r="B32" s="265"/>
      <x:c r="C32" s="265"/>
      <x:c r="D32" s="239"/>
      <x:c r="E32" s="239"/>
      <x:c r="F32" s="239"/>
      <x:c r="G32" s="239"/>
      <x:c r="H32" s="239"/>
      <x:c r="I32" s="239"/>
      <x:c r="J32" s="239"/>
      <x:c r="K32" s="239"/>
      <x:c r="L32" s="239"/>
      <x:c r="M32" s="239"/>
      <x:c r="N32" s="256"/>
      <x:c r="O32" s="256"/>
      <x:c r="P32" s="256"/>
      <x:c r="Q32" s="239"/>
    </x:row>
    <x:row r="33" ht="22" customHeight="1">
      <x:c r="A33" s="258"/>
      <x:c r="B33" s="258"/>
      <x:c r="C33" s="258"/>
      <x:c r="D33" s="239"/>
      <x:c r="E33" s="239"/>
      <x:c r="F33" s="239"/>
      <x:c r="G33" s="239"/>
      <x:c r="H33" s="239"/>
      <x:c r="I33" s="239"/>
      <x:c r="J33" s="239"/>
      <x:c r="K33" s="239"/>
      <x:c r="L33" s="239"/>
      <x:c r="M33" s="239"/>
      <x:c r="N33" s="256"/>
      <x:c r="O33" s="256"/>
      <x:c r="P33" s="256"/>
      <x:c r="Q33" s="239"/>
    </x:row>
    <x:row r="34" ht="22" customHeight="1">
      <x:c r="A34" s="258"/>
      <x:c r="B34" s="258"/>
      <x:c r="C34" s="258"/>
      <x:c r="D34" s="239"/>
      <x:c r="E34" s="239"/>
      <x:c r="F34" s="239"/>
      <x:c r="G34" s="239"/>
      <x:c r="H34" s="239"/>
      <x:c r="I34" s="239"/>
      <x:c r="J34" s="239"/>
      <x:c r="K34" s="239"/>
      <x:c r="L34" s="239"/>
      <x:c r="M34" s="239"/>
      <x:c r="N34" s="256"/>
      <x:c r="O34" s="256"/>
      <x:c r="P34" s="256"/>
      <x:c r="Q34" s="239"/>
    </x:row>
    <x:row r="35" ht="22" customHeight="1">
      <x:c r="A35" s="258"/>
      <x:c r="B35" s="258"/>
      <x:c r="C35" s="258"/>
      <x:c r="D35" s="239"/>
      <x:c r="E35" s="239"/>
      <x:c r="F35" s="239"/>
      <x:c r="G35" s="239"/>
      <x:c r="H35" s="239"/>
      <x:c r="I35" s="239"/>
      <x:c r="J35" s="239"/>
      <x:c r="K35" s="239"/>
      <x:c r="L35" s="239"/>
      <x:c r="M35" s="239"/>
      <x:c r="N35" s="256"/>
      <x:c r="O35" s="256"/>
      <x:c r="P35" s="256"/>
      <x:c r="Q35" s="239"/>
    </x:row>
    <x:row r="36" ht="22" customHeight="1">
      <x:c r="A36" s="258"/>
      <x:c r="B36" s="258"/>
      <x:c r="C36" s="258"/>
      <x:c r="D36" s="239"/>
      <x:c r="E36" s="239"/>
      <x:c r="F36" s="239"/>
      <x:c r="G36" s="239"/>
      <x:c r="H36" s="239"/>
      <x:c r="I36" s="239"/>
      <x:c r="J36" s="239"/>
      <x:c r="K36" s="239"/>
      <x:c r="L36" s="239"/>
      <x:c r="M36" s="239"/>
      <x:c r="N36" s="256"/>
      <x:c r="O36" s="256"/>
      <x:c r="P36" s="256"/>
      <x:c r="Q36" s="239"/>
    </x:row>
    <x:row r="37" ht="22" customHeight="1">
      <x:c r="A37" s="258"/>
      <x:c r="B37" s="258"/>
      <x:c r="C37" s="258"/>
      <x:c r="D37" s="239"/>
      <x:c r="E37" s="239"/>
      <x:c r="F37" s="239"/>
      <x:c r="G37" s="239"/>
      <x:c r="H37" s="239"/>
      <x:c r="I37" s="239"/>
      <x:c r="J37" s="239"/>
      <x:c r="K37" s="239"/>
      <x:c r="L37" s="239"/>
      <x:c r="M37" s="239"/>
      <x:c r="N37" s="256"/>
      <x:c r="O37" s="256"/>
      <x:c r="P37" s="256"/>
      <x:c r="Q37" s="239"/>
    </x:row>
    <x:row r="38" ht="22" customHeight="1">
      <x:c r="A38" s="258"/>
      <x:c r="B38" s="258"/>
      <x:c r="C38" s="258"/>
      <x:c r="D38" s="239"/>
      <x:c r="E38" s="239"/>
      <x:c r="F38" s="239"/>
      <x:c r="G38" s="239"/>
      <x:c r="H38" s="239"/>
      <x:c r="I38" s="239"/>
      <x:c r="J38" s="239"/>
      <x:c r="K38" s="239"/>
      <x:c r="L38" s="239"/>
      <x:c r="M38" s="239"/>
      <x:c r="N38" s="256"/>
      <x:c r="O38" s="256"/>
      <x:c r="P38" s="256"/>
      <x:c r="Q38" s="239"/>
    </x:row>
    <x:row r="39" ht="22" customHeight="1">
      <x:c r="A39" s="262" t="str">
        <x:v>Last Updated
07-Aug-2026
10:51 AM</x:v>
      </x:c>
      <x:c r="B39" s="262"/>
      <x:c r="C39" s="262"/>
      <x:c r="D39" s="239"/>
      <x:c r="E39" s="239"/>
      <x:c r="F39" s="239"/>
      <x:c r="G39" s="239"/>
      <x:c r="H39" s="239"/>
      <x:c r="I39" s="239"/>
      <x:c r="J39" s="239"/>
      <x:c r="K39" s="239"/>
      <x:c r="L39" s="239"/>
      <x:c r="M39" s="239"/>
      <x:c r="N39" s="256"/>
      <x:c r="O39" s="256"/>
      <x:c r="P39" s="256"/>
      <x:c r="Q39" s="239"/>
    </x:row>
    <x:row r="40" ht="22" customHeight="1">
      <x:c r="A40" s="262"/>
      <x:c r="B40" s="262"/>
      <x:c r="C40" s="262"/>
      <x:c r="D40" s="239"/>
      <x:c r="E40" s="239"/>
      <x:c r="F40" s="239"/>
      <x:c r="G40" s="239"/>
      <x:c r="H40" s="239"/>
      <x:c r="I40" s="239"/>
      <x:c r="J40" s="239"/>
      <x:c r="K40" s="239"/>
      <x:c r="L40" s="239"/>
      <x:c r="M40" s="239"/>
      <x:c r="N40" s="256"/>
      <x:c r="O40" s="256"/>
      <x:c r="P40" s="256"/>
      <x:c r="Q40" s="239"/>
    </x:row>
    <x:row r="41" ht="22" customHeight="1">
      <x:c r="A41" s="262"/>
      <x:c r="B41" s="262"/>
      <x:c r="C41" s="262"/>
      <x:c r="D41" s="239"/>
      <x:c r="E41" s="239"/>
      <x:c r="F41" s="239"/>
      <x:c r="G41" s="239"/>
      <x:c r="H41" s="239"/>
      <x:c r="I41" s="239"/>
      <x:c r="J41" s="239"/>
      <x:c r="K41" s="239"/>
      <x:c r="L41" s="239"/>
      <x:c r="M41" s="239"/>
      <x:c r="N41" s="256"/>
      <x:c r="O41" s="256"/>
      <x:c r="P41" s="256"/>
      <x:c r="Q41" s="239"/>
    </x:row>
    <x:row r="42" ht="22" customHeight="1">
      <x:c r="A42" s="262"/>
      <x:c r="B42" s="262"/>
      <x:c r="C42" s="262"/>
      <x:c r="D42" s="239"/>
      <x:c r="E42" s="239"/>
      <x:c r="F42" s="239"/>
      <x:c r="G42" s="239"/>
      <x:c r="H42" s="239"/>
      <x:c r="I42" s="239"/>
      <x:c r="J42" s="239"/>
      <x:c r="K42" s="239"/>
      <x:c r="L42" s="239"/>
      <x:c r="M42" s="239"/>
      <x:c r="N42" s="256"/>
      <x:c r="O42" s="256"/>
      <x:c r="P42" s="256"/>
      <x:c r="Q42" s="239"/>
    </x:row>
    <x:row r="43" ht="22" customHeight="1">
      <x:c r="A43" s="262"/>
      <x:c r="B43" s="262"/>
      <x:c r="C43" s="262"/>
      <x:c r="D43" s="239"/>
      <x:c r="E43" s="239"/>
      <x:c r="F43" s="239"/>
      <x:c r="G43" s="239"/>
      <x:c r="H43" s="239"/>
      <x:c r="I43" s="239"/>
      <x:c r="J43" s="239"/>
      <x:c r="K43" s="239"/>
      <x:c r="L43" s="239"/>
      <x:c r="M43" s="239"/>
      <x:c r="N43" s="256"/>
      <x:c r="O43" s="256"/>
      <x:c r="P43" s="256"/>
      <x:c r="Q43" s="239"/>
    </x:row>
    <x:row r="44" ht="22" customHeight="1">
      <x:c r="A44" s="258"/>
      <x:c r="B44" s="258"/>
      <x:c r="C44" s="258"/>
      <x:c r="D44" s="239"/>
      <x:c r="E44" s="239"/>
      <x:c r="F44" s="239"/>
      <x:c r="G44" s="239"/>
      <x:c r="H44" s="239"/>
      <x:c r="I44" s="239"/>
      <x:c r="J44" s="239"/>
      <x:c r="K44" s="239"/>
      <x:c r="L44" s="239"/>
      <x:c r="M44" s="239"/>
      <x:c r="N44" s="256"/>
      <x:c r="O44" s="256"/>
      <x:c r="P44" s="256"/>
      <x:c r="Q44" s="239"/>
    </x:row>
    <x:row r="45" ht="22" customHeight="1">
      <x:c r="A45" s="258"/>
      <x:c r="B45" s="258"/>
      <x:c r="C45" s="258"/>
      <x:c r="D45" s="239"/>
      <x:c r="E45" s="239"/>
      <x:c r="F45" s="239"/>
      <x:c r="G45" s="239"/>
      <x:c r="H45" s="239"/>
      <x:c r="I45" s="239"/>
      <x:c r="J45" s="239"/>
      <x:c r="K45" s="239"/>
      <x:c r="L45" s="239"/>
      <x:c r="M45" s="239"/>
      <x:c r="N45" s="256"/>
      <x:c r="O45" s="256"/>
      <x:c r="P45" s="256"/>
      <x:c r="Q45" s="239"/>
    </x:row>
    <x:row r="46" ht="22" customHeight="1">
      <x:c r="A46" s="258"/>
      <x:c r="B46" s="258"/>
      <x:c r="C46" s="258"/>
      <x:c r="D46" s="239"/>
      <x:c r="E46" s="239"/>
      <x:c r="F46" s="239"/>
      <x:c r="G46" s="239"/>
      <x:c r="H46" s="239"/>
      <x:c r="I46" s="239"/>
      <x:c r="J46" s="239"/>
      <x:c r="K46" s="239"/>
      <x:c r="L46" s="239"/>
      <x:c r="M46" s="239"/>
      <x:c r="N46" s="239"/>
      <x:c r="O46" s="239"/>
      <x:c r="P46" s="239"/>
      <x:c r="Q46" s="239"/>
    </x:row>
    <x:row r="47" ht="22" customHeight="1">
      <x:c r="A47" s="258"/>
      <x:c r="B47" s="258"/>
      <x:c r="C47" s="258"/>
      <x:c r="D47" s="239"/>
      <x:c r="E47" s="239"/>
      <x:c r="F47" s="239"/>
      <x:c r="G47" s="239"/>
      <x:c r="H47" s="239"/>
      <x:c r="I47" s="239"/>
      <x:c r="J47" s="239"/>
      <x:c r="K47" s="239"/>
      <x:c r="L47" s="239"/>
      <x:c r="M47" s="239"/>
      <x:c r="N47" s="239"/>
      <x:c r="O47" s="239"/>
      <x:c r="P47" s="239"/>
      <x:c r="Q47" s="239"/>
    </x:row>
    <x:row r="48" ht="22" customHeight="1">
      <x:c r="A48" s="258"/>
      <x:c r="B48" s="258"/>
      <x:c r="C48" s="258"/>
      <x:c r="D48" s="239"/>
      <x:c r="E48" s="239"/>
      <x:c r="F48" s="239"/>
      <x:c r="G48" s="239"/>
      <x:c r="H48" s="239"/>
      <x:c r="I48" s="239"/>
      <x:c r="J48" s="239"/>
      <x:c r="K48" s="239"/>
      <x:c r="L48" s="239"/>
      <x:c r="M48" s="239"/>
      <x:c r="N48" s="239"/>
      <x:c r="O48" s="239"/>
      <x:c r="P48" s="239"/>
      <x:c r="Q48" s="239"/>
    </x:row>
    <x:row r="49" ht="22" customHeight="1">
      <x:c r="A49" s="258"/>
      <x:c r="B49" s="258"/>
      <x:c r="C49" s="258"/>
      <x:c r="D49" s="239"/>
      <x:c r="E49" s="312" t="str">
        <x:v>SMART INSIGHTS &amp; ACTIONS</x:v>
      </x:c>
      <x:c r="F49" s="312"/>
      <x:c r="G49" s="312"/>
      <x:c r="H49" s="312"/>
      <x:c r="I49" s="312"/>
      <x:c r="J49" s="312"/>
      <x:c r="K49" s="312"/>
      <x:c r="L49" s="312"/>
      <x:c r="M49" s="312"/>
      <x:c r="N49" s="312"/>
      <x:c r="O49" s="312"/>
      <x:c r="P49" s="312"/>
      <x:c r="Q49" s="239"/>
    </x:row>
    <x:row r="50" ht="22" customHeight="1">
      <x:c r="A50" s="258"/>
      <x:c r="B50" s="258"/>
      <x:c r="C50" s="258"/>
      <x:c r="D50" s="239"/>
      <x:c r="E50" s="313" t="str">
        <x:v>Metric</x:v>
      </x:c>
      <x:c r="F50" s="313" t="str">
        <x:v>Live Result</x:v>
      </x:c>
      <x:c r="G50" s="313" t="str">
        <x:v>Meaning</x:v>
      </x:c>
      <x:c r="H50" s="313" t="str">
        <x:v>Action</x:v>
      </x:c>
      <x:c r="I50" s="239"/>
      <x:c r="J50" s="315" t="str">
        <x:v>FILTERS (interactive slicers in final XLSM)</x:v>
      </x:c>
      <x:c r="K50" s="315"/>
      <x:c r="L50" s="315"/>
      <x:c r="M50" s="315"/>
      <x:c r="N50" s="315"/>
      <x:c r="O50" s="315"/>
      <x:c r="P50" s="315"/>
      <x:c r="Q50" s="239"/>
    </x:row>
    <x:row r="51" ht="22" customHeight="1">
      <x:c r="A51" s="239"/>
      <x:c r="B51" s="239"/>
      <x:c r="C51" s="239"/>
      <x:c r="D51" s="239"/>
      <x:c r="E51" s="314" t="str">
        <x:v>Top Region</x:v>
      </x:c>
      <x:c r="F51" s="314" t="str">
        <x:f>INDEX(KPI_Center!E21:E24,MATCH(MAX(KPI_Center!F21:F24),KPI_Center!F21:F24,0))</x:f>
        <x:v>East</x:v>
      </x:c>
      <x:c r="G51" s="314" t="str">
        <x:v>Highest revenue geography</x:v>
      </x:c>
      <x:c r="H51" s="314" t="str">
        <x:v>Protect key accounts</x:v>
      </x:c>
      <x:c r="I51" s="239"/>
      <x:c r="J51" s="320" t="str">
        <x:v>Region
All Regions</x:v>
      </x:c>
      <x:c r="K51" s="320"/>
      <x:c r="L51" s="325" t="str">
        <x:v>Category
All Categories</x:v>
      </x:c>
      <x:c r="M51" s="325"/>
      <x:c r="N51" s="330" t="str">
        <x:v>Channel
All Channels</x:v>
      </x:c>
      <x:c r="O51" s="330"/>
      <x:c r="P51" s="330"/>
      <x:c r="Q51" s="239"/>
    </x:row>
    <x:row r="52" ht="22" customHeight="1">
      <x:c r="A52" s="239"/>
      <x:c r="B52" s="239"/>
      <x:c r="C52" s="239"/>
      <x:c r="D52" s="239"/>
      <x:c r="E52" s="314" t="str">
        <x:v>Top Category</x:v>
      </x:c>
      <x:c r="F52" s="314" t="str">
        <x:f>INDEX(KPI_Center!H21:H24,MATCH(MAX(KPI_Center!I21:I24),KPI_Center!I21:I24,0))</x:f>
        <x:v>Electronics</x:v>
      </x:c>
      <x:c r="G52" s="314" t="str">
        <x:v>Highest profit category</x:v>
      </x:c>
      <x:c r="H52" s="314" t="str">
        <x:v>Prioritize inventory</x:v>
      </x:c>
      <x:c r="I52" s="239"/>
      <x:c r="J52" s="320"/>
      <x:c r="K52" s="320"/>
      <x:c r="L52" s="325"/>
      <x:c r="M52" s="325"/>
      <x:c r="N52" s="330"/>
      <x:c r="O52" s="330"/>
      <x:c r="P52" s="330"/>
      <x:c r="Q52" s="239"/>
    </x:row>
    <x:row r="53" ht="22" customHeight="1">
      <x:c r="A53" s="239"/>
      <x:c r="B53" s="239"/>
      <x:c r="C53" s="239"/>
      <x:c r="D53" s="239"/>
      <x:c r="E53" s="314" t="str">
        <x:v>Top Executive</x:v>
      </x:c>
      <x:c r="F53" s="314" t="str">
        <x:f>INDEX(KPI_Center!E28:E35,MATCH(MAX(KPI_Center!F28:F35),KPI_Center!F28:F35,0))</x:f>
        <x:v>Aarav Sen</x:v>
      </x:c>
      <x:c r="G53" s="314" t="str">
        <x:v>Best revenue performer</x:v>
      </x:c>
      <x:c r="H53" s="314" t="str">
        <x:v>Replicate best practices</x:v>
      </x:c>
      <x:c r="I53" s="239"/>
      <x:c r="J53" s="320"/>
      <x:c r="K53" s="320"/>
      <x:c r="L53" s="325"/>
      <x:c r="M53" s="325"/>
      <x:c r="N53" s="330"/>
      <x:c r="O53" s="330"/>
      <x:c r="P53" s="330"/>
      <x:c r="Q53" s="239"/>
    </x:row>
    <x:row r="54" ht="22" customHeight="1">
      <x:c r="A54" s="239"/>
      <x:c r="B54" s="239"/>
      <x:c r="C54" s="239"/>
      <x:c r="D54" s="239"/>
      <x:c r="E54" s="314" t="str">
        <x:v>Target Status</x:v>
      </x:c>
      <x:c r="F54" s="314" t="str">
        <x:f>IF(K6&gt;=1,"Target Achieved","Below Target")</x:f>
        <x:v>Below Target</x:v>
      </x:c>
      <x:c r="G54" s="314" t="str">
        <x:v>Overall target position</x:v>
      </x:c>
      <x:c r="H54" s="314" t="str">
        <x:v>Fix weak segments</x:v>
      </x:c>
      <x:c r="I54" s="239"/>
      <x:c r="J54" s="239"/>
      <x:c r="K54" s="239"/>
      <x:c r="L54" s="239"/>
      <x:c r="M54" s="239"/>
      <x:c r="N54" s="239"/>
      <x:c r="O54" s="239"/>
      <x:c r="P54" s="239"/>
      <x:c r="Q54" s="239"/>
    </x:row>
    <x:row r="55" ht="22" customHeight="1">
      <x:c r="A55" s="239"/>
      <x:c r="B55" s="239"/>
      <x:c r="C55" s="239"/>
      <x:c r="D55" s="239"/>
      <x:c r="E55" s="239"/>
      <x:c r="F55" s="239"/>
      <x:c r="G55" s="239"/>
      <x:c r="H55" s="239"/>
      <x:c r="I55" s="239"/>
      <x:c r="J55" s="239"/>
      <x:c r="K55" s="239"/>
      <x:c r="L55" s="239"/>
      <x:c r="M55" s="239"/>
      <x:c r="N55" s="239"/>
      <x:c r="O55" s="239"/>
      <x:c r="P55" s="239"/>
      <x:c r="Q55" s="239"/>
    </x:row>
    <x:row r="56" ht="22" customHeight="1">
      <x:c r="A56" s="239"/>
      <x:c r="B56" s="239"/>
      <x:c r="C56" s="239"/>
      <x:c r="D56" s="239"/>
      <x:c r="E56" s="239"/>
      <x:c r="F56" s="239"/>
      <x:c r="G56" s="239"/>
      <x:c r="H56" s="239"/>
      <x:c r="I56" s="239"/>
      <x:c r="J56" s="239"/>
      <x:c r="K56" s="239"/>
      <x:c r="L56" s="239"/>
      <x:c r="M56" s="239"/>
      <x:c r="N56" s="239"/>
      <x:c r="O56" s="239"/>
      <x:c r="P56" s="239"/>
      <x:c r="Q56" s="239"/>
    </x:row>
    <x:row r="57" ht="22" customHeight="1">
      <x:c r="A57" s="239"/>
      <x:c r="B57" s="239"/>
      <x:c r="C57" s="239"/>
      <x:c r="D57" s="239"/>
      <x:c r="E57" s="239"/>
      <x:c r="F57" s="239"/>
      <x:c r="G57" s="239"/>
      <x:c r="H57" s="239"/>
      <x:c r="I57" s="239"/>
      <x:c r="J57" s="239"/>
      <x:c r="K57" s="239"/>
      <x:c r="L57" s="239"/>
      <x:c r="M57" s="239"/>
      <x:c r="N57" s="239"/>
      <x:c r="O57" s="239"/>
      <x:c r="P57" s="239"/>
      <x:c r="Q57" s="239"/>
    </x:row>
    <x:row r="58" ht="22" customHeight="1">
      <x:c r="A58" s="239"/>
      <x:c r="B58" s="239"/>
      <x:c r="C58" s="239"/>
      <x:c r="D58" s="239"/>
      <x:c r="E58" s="239"/>
      <x:c r="F58" s="239"/>
      <x:c r="G58" s="239"/>
      <x:c r="H58" s="239"/>
      <x:c r="I58" s="239"/>
      <x:c r="J58" s="239"/>
      <x:c r="K58" s="239"/>
      <x:c r="L58" s="239"/>
      <x:c r="M58" s="239"/>
      <x:c r="N58" s="239"/>
      <x:c r="O58" s="239"/>
      <x:c r="P58" s="239"/>
      <x:c r="Q58" s="239"/>
    </x:row>
    <x:row r="59" ht="22" customHeight="1">
      <x:c r="A59" s="239"/>
      <x:c r="B59" s="239"/>
      <x:c r="C59" s="239"/>
      <x:c r="D59" s="239"/>
      <x:c r="E59" s="239"/>
      <x:c r="F59" s="239"/>
      <x:c r="G59" s="239"/>
      <x:c r="H59" s="239"/>
      <x:c r="I59" s="239"/>
      <x:c r="J59" s="239"/>
      <x:c r="K59" s="239"/>
      <x:c r="L59" s="239"/>
      <x:c r="M59" s="239"/>
      <x:c r="N59" s="239"/>
      <x:c r="O59" s="239"/>
      <x:c r="P59" s="239"/>
      <x:c r="Q59" s="239"/>
    </x:row>
    <x:row r="60" ht="22" customHeight="1">
      <x:c r="A60" s="239"/>
      <x:c r="B60" s="239"/>
      <x:c r="C60" s="239"/>
      <x:c r="D60" s="239"/>
      <x:c r="E60" s="239"/>
      <x:c r="F60" s="239"/>
      <x:c r="G60" s="239"/>
      <x:c r="H60" s="239"/>
      <x:c r="I60" s="239"/>
      <x:c r="J60" s="239"/>
      <x:c r="K60" s="239"/>
      <x:c r="L60" s="239"/>
      <x:c r="M60" s="239"/>
      <x:c r="N60" s="239"/>
      <x:c r="O60" s="239"/>
      <x:c r="P60" s="239"/>
      <x:c r="Q60" s="239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39:C43"/>
    <x:mergeCell ref="E2:P3"/>
    <x:mergeCell ref="E5:G9"/>
    <x:mergeCell ref="H5:J9"/>
    <x:mergeCell ref="K5:M9"/>
    <x:mergeCell ref="N5:P9"/>
    <x:mergeCell ref="N29:P45"/>
    <x:mergeCell ref="A28:C29"/>
    <x:mergeCell ref="A31:C32"/>
    <x:mergeCell ref="E4:P4"/>
    <x:mergeCell ref="E6:G10"/>
    <x:mergeCell ref="H6:J10"/>
    <x:mergeCell ref="K6:M10"/>
    <x:mergeCell ref="N6:P10"/>
    <x:mergeCell ref="E12:G15"/>
    <x:mergeCell ref="H12:J15"/>
    <x:mergeCell ref="K12:M15"/>
    <x:mergeCell ref="N12:P15"/>
    <x:mergeCell ref="E49:P49"/>
    <x:mergeCell ref="J50:P50"/>
    <x:mergeCell ref="J51:K53"/>
    <x:mergeCell ref="L51:M53"/>
    <x:mergeCell ref="N51:P53"/>
  </x:mergeCells>
  <x:pageMargins left="0.7" right="0.7" top="0.75" bottom="0.75" header="0.3" footer="0.3"/>
  <x:drawing xmlns:r="http://schemas.openxmlformats.org/officeDocument/2006/relationships" r:id="R917d2c045a1443dd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6"/>
      <x:c r="B1" s="6"/>
      <x:c r="C1" s="6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10" t="str">
        <x:v>SalesIQ</x:v>
      </x:c>
      <x:c r="B2" s="10"/>
      <x:c r="C2" s="10"/>
      <x:c r="D2" s="4"/>
      <x:c r="E2" s="145" t="str">
        <x:v>KPI Center</x:v>
      </x:c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  <x:c r="Q2" s="4"/>
    </x:row>
    <x:row r="3" ht="22" customHeight="1">
      <x:c r="A3" s="10"/>
      <x:c r="B3" s="10"/>
      <x:c r="C3" s="10"/>
      <x:c r="D3" s="4"/>
      <x:c r="E3" s="145"/>
      <x:c r="F3" s="145"/>
      <x:c r="G3" s="145"/>
      <x:c r="H3" s="145"/>
      <x:c r="I3" s="145"/>
      <x:c r="J3" s="145"/>
      <x:c r="K3" s="145"/>
      <x:c r="L3" s="145"/>
      <x:c r="M3" s="145"/>
      <x:c r="N3" s="145"/>
      <x:c r="O3" s="145"/>
      <x:c r="P3" s="145"/>
      <x:c r="Q3" s="4"/>
    </x:row>
    <x:row r="4" ht="22" customHeight="1">
      <x:c r="A4" s="10"/>
      <x:c r="B4" s="10"/>
      <x:c r="C4" s="10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22" customHeight="1">
      <x:c r="A5" s="10"/>
      <x:c r="B5" s="10"/>
      <x:c r="C5" s="10"/>
      <x:c r="D5" s="4"/>
      <x:c r="E5" s="152" t="n">
        <x:f>SUM(RAW_DATA!L2:L301)</x:f>
        <x:v>43267710</x:v>
      </x:c>
      <x:c r="F5" s="152"/>
      <x:c r="G5" s="152"/>
      <x:c r="H5" s="152"/>
      <x:c r="I5" s="152" t="n">
        <x:f>SUM(RAW_DATA!N2:N301)</x:f>
        <x:v>13710890</x:v>
      </x:c>
      <x:c r="J5" s="152"/>
      <x:c r="K5" s="152"/>
      <x:c r="L5" s="152"/>
      <x:c r="M5" s="160" t="n">
        <x:f>SUM(RAW_DATA!L2:L301)/SUM(RAW_DATA!R2:R301)</x:f>
        <x:v>0.952246712517194</x:v>
      </x:c>
      <x:c r="N5" s="160"/>
      <x:c r="O5" s="160"/>
      <x:c r="P5" s="160"/>
      <x:c r="Q5" s="4"/>
    </x:row>
    <x:row r="6" ht="22" customHeight="1">
      <x:c r="A6" s="6"/>
      <x:c r="B6" s="6"/>
      <x:c r="C6" s="6"/>
      <x:c r="D6" s="4"/>
      <x:c r="E6" s="152"/>
      <x:c r="F6" s="152"/>
      <x:c r="G6" s="152"/>
      <x:c r="H6" s="152"/>
      <x:c r="I6" s="152"/>
      <x:c r="J6" s="152"/>
      <x:c r="K6" s="152"/>
      <x:c r="L6" s="152"/>
      <x:c r="M6" s="160"/>
      <x:c r="N6" s="160"/>
      <x:c r="O6" s="160"/>
      <x:c r="P6" s="160"/>
      <x:c r="Q6" s="4"/>
    </x:row>
    <x:row r="7" ht="22" customHeight="1">
      <x:c r="A7" s="24" t="str">
        <x:v>Home</x:v>
      </x:c>
      <x:c r="B7" s="24"/>
      <x:c r="C7" s="24"/>
      <x:c r="D7" s="4"/>
      <x:c r="E7" s="152"/>
      <x:c r="F7" s="152"/>
      <x:c r="G7" s="152"/>
      <x:c r="H7" s="152"/>
      <x:c r="I7" s="152"/>
      <x:c r="J7" s="152"/>
      <x:c r="K7" s="152"/>
      <x:c r="L7" s="152"/>
      <x:c r="M7" s="160"/>
      <x:c r="N7" s="160"/>
      <x:c r="O7" s="160"/>
      <x:c r="P7" s="160"/>
      <x:c r="Q7" s="4"/>
    </x:row>
    <x:row r="8" ht="22" customHeight="1">
      <x:c r="A8" s="24"/>
      <x:c r="B8" s="24"/>
      <x:c r="C8" s="24"/>
      <x:c r="D8" s="4"/>
      <x:c r="E8" s="152"/>
      <x:c r="F8" s="152"/>
      <x:c r="G8" s="152"/>
      <x:c r="H8" s="152"/>
      <x:c r="I8" s="152"/>
      <x:c r="J8" s="152"/>
      <x:c r="K8" s="152"/>
      <x:c r="L8" s="152"/>
      <x:c r="M8" s="160"/>
      <x:c r="N8" s="160"/>
      <x:c r="O8" s="160"/>
      <x:c r="P8" s="160"/>
      <x:c r="Q8" s="4"/>
    </x:row>
    <x:row r="9" ht="22" customHeight="1">
      <x:c r="A9" s="6"/>
      <x:c r="B9" s="6"/>
      <x:c r="C9" s="6"/>
      <x:c r="D9" s="4"/>
      <x:c r="E9" s="152"/>
      <x:c r="F9" s="152"/>
      <x:c r="G9" s="152"/>
      <x:c r="H9" s="152"/>
      <x:c r="I9" s="152"/>
      <x:c r="J9" s="152"/>
      <x:c r="K9" s="152"/>
      <x:c r="L9" s="152"/>
      <x:c r="M9" s="160"/>
      <x:c r="N9" s="160"/>
      <x:c r="O9" s="160"/>
      <x:c r="P9" s="160"/>
      <x:c r="Q9" s="4"/>
    </x:row>
    <x:row r="10" ht="22" customHeight="1">
      <x:c r="A10" s="24" t="str">
        <x:v>Dashboard</x:v>
      </x:c>
      <x:c r="B10" s="24"/>
      <x:c r="C10" s="24"/>
      <x:c r="D10" s="4"/>
      <x:c r="E10" s="152"/>
      <x:c r="F10" s="152"/>
      <x:c r="G10" s="152"/>
      <x:c r="H10" s="152"/>
      <x:c r="I10" s="152"/>
      <x:c r="J10" s="152"/>
      <x:c r="K10" s="152"/>
      <x:c r="L10" s="152"/>
      <x:c r="M10" s="160"/>
      <x:c r="N10" s="160"/>
      <x:c r="O10" s="160"/>
      <x:c r="P10" s="160"/>
      <x:c r="Q10" s="4"/>
    </x:row>
    <x:row r="11" ht="22" customHeight="1">
      <x:c r="A11" s="24"/>
      <x:c r="B11" s="24"/>
      <x:c r="C11" s="2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</x:row>
    <x:row r="12" ht="22" customHeight="1">
      <x:c r="A12" s="6"/>
      <x:c r="B12" s="6"/>
      <x:c r="C12" s="6"/>
      <x:c r="D12" s="4"/>
      <x:c r="E12" s="166" t="n">
        <x:f>SUM(RAW_DATA!J2:J301)</x:f>
        <x:v>2443</x:v>
      </x:c>
      <x:c r="F12" s="166"/>
      <x:c r="G12" s="166"/>
      <x:c r="H12" s="166"/>
      <x:c r="I12" s="160" t="n">
        <x:f>SUM(RAW_DATA!N2:N301)/SUM(RAW_DATA!L2:L301)</x:f>
        <x:v>0.31688503967508336</x:v>
      </x:c>
      <x:c r="J12" s="160"/>
      <x:c r="K12" s="160"/>
      <x:c r="L12" s="160"/>
      <x:c r="M12" s="172" t="n">
        <x:f>AVERAGE(RAW_DATA!W2:W301)</x:f>
        <x:v>4.184999999999998</x:v>
      </x:c>
      <x:c r="N12" s="172"/>
      <x:c r="O12" s="172"/>
      <x:c r="P12" s="172"/>
      <x:c r="Q12" s="4"/>
    </x:row>
    <x:row r="13" ht="22" customHeight="1">
      <x:c r="A13" s="17" t="str">
        <x:v>KPI Center</x:v>
      </x:c>
      <x:c r="B13" s="17"/>
      <x:c r="C13" s="17"/>
      <x:c r="D13" s="4"/>
      <x:c r="E13" s="166"/>
      <x:c r="F13" s="166"/>
      <x:c r="G13" s="166"/>
      <x:c r="H13" s="166"/>
      <x:c r="I13" s="160"/>
      <x:c r="J13" s="160"/>
      <x:c r="K13" s="160"/>
      <x:c r="L13" s="160"/>
      <x:c r="M13" s="172"/>
      <x:c r="N13" s="172"/>
      <x:c r="O13" s="172"/>
      <x:c r="P13" s="172"/>
      <x:c r="Q13" s="4"/>
    </x:row>
    <x:row r="14" ht="22" customHeight="1">
      <x:c r="A14" s="17"/>
      <x:c r="B14" s="17"/>
      <x:c r="C14" s="17"/>
      <x:c r="D14" s="4"/>
      <x:c r="E14" s="166"/>
      <x:c r="F14" s="166"/>
      <x:c r="G14" s="166"/>
      <x:c r="H14" s="166"/>
      <x:c r="I14" s="160"/>
      <x:c r="J14" s="160"/>
      <x:c r="K14" s="160"/>
      <x:c r="L14" s="160"/>
      <x:c r="M14" s="172"/>
      <x:c r="N14" s="172"/>
      <x:c r="O14" s="172"/>
      <x:c r="P14" s="172"/>
      <x:c r="Q14" s="4"/>
    </x:row>
    <x:row r="15" ht="22" customHeight="1">
      <x:c r="A15" s="6"/>
      <x:c r="B15" s="6"/>
      <x:c r="C15" s="6"/>
      <x:c r="D15" s="4"/>
      <x:c r="E15" s="166"/>
      <x:c r="F15" s="166"/>
      <x:c r="G15" s="166"/>
      <x:c r="H15" s="166"/>
      <x:c r="I15" s="160"/>
      <x:c r="J15" s="160"/>
      <x:c r="K15" s="160"/>
      <x:c r="L15" s="160"/>
      <x:c r="M15" s="172"/>
      <x:c r="N15" s="172"/>
      <x:c r="O15" s="172"/>
      <x:c r="P15" s="172"/>
      <x:c r="Q15" s="4"/>
    </x:row>
    <x:row r="16" ht="22" customHeight="1">
      <x:c r="A16" s="24" t="str">
        <x:v>Forecast</x:v>
      </x:c>
      <x:c r="B16" s="24"/>
      <x:c r="C16" s="24"/>
      <x:c r="D16" s="4"/>
      <x:c r="E16" s="166"/>
      <x:c r="F16" s="166"/>
      <x:c r="G16" s="166"/>
      <x:c r="H16" s="166"/>
      <x:c r="I16" s="160"/>
      <x:c r="J16" s="160"/>
      <x:c r="K16" s="160"/>
      <x:c r="L16" s="160"/>
      <x:c r="M16" s="172"/>
      <x:c r="N16" s="172"/>
      <x:c r="O16" s="172"/>
      <x:c r="P16" s="172"/>
      <x:c r="Q16" s="4"/>
    </x:row>
    <x:row r="17" ht="22" customHeight="1">
      <x:c r="A17" s="24"/>
      <x:c r="B17" s="24"/>
      <x:c r="C17" s="24"/>
      <x:c r="D17" s="4"/>
      <x:c r="E17" s="166"/>
      <x:c r="F17" s="166"/>
      <x:c r="G17" s="166"/>
      <x:c r="H17" s="166"/>
      <x:c r="I17" s="160"/>
      <x:c r="J17" s="160"/>
      <x:c r="K17" s="160"/>
      <x:c r="L17" s="160"/>
      <x:c r="M17" s="172"/>
      <x:c r="N17" s="172"/>
      <x:c r="O17" s="172"/>
      <x:c r="P17" s="172"/>
      <x:c r="Q17" s="4"/>
    </x:row>
    <x:row r="18" ht="22" customHeight="1">
      <x:c r="A18" s="6"/>
      <x:c r="B18" s="6"/>
      <x:c r="C18" s="6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2" customHeight="1">
      <x:c r="A19" s="24" t="str">
        <x:v>Reports</x:v>
      </x:c>
      <x:c r="B19" s="24"/>
      <x:c r="C19" s="2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2" customHeight="1">
      <x:c r="A20" s="24"/>
      <x:c r="B20" s="24"/>
      <x:c r="C20" s="24"/>
      <x:c r="D20" s="4"/>
      <x:c r="E20" s="177" t="str">
        <x:v>Region</x:v>
      </x:c>
      <x:c r="F20" s="177" t="str">
        <x:v>Revenue</x:v>
      </x:c>
      <x:c r="G20" s="4"/>
      <x:c r="H20" s="177" t="str">
        <x:v>Category</x:v>
      </x:c>
      <x:c r="I20" s="177" t="str">
        <x:v>Profit</x:v>
      </x:c>
      <x:c r="J20" s="238" t="str">
        <x:v>Channel</x:v>
      </x:c>
      <x:c r="K20" s="238" t="str">
        <x:v>Revenue</x:v>
      </x:c>
      <x:c r="L20" s="4"/>
      <x:c r="M20" s="238" t="str">
        <x:v>Customer Type</x:v>
      </x:c>
      <x:c r="N20" s="238" t="str">
        <x:v>Revenue</x:v>
      </x:c>
      <x:c r="O20" s="4"/>
      <x:c r="P20" s="4"/>
      <x:c r="Q20" s="4"/>
    </x:row>
    <x:row r="21" ht="22" customHeight="1">
      <x:c r="A21" s="6"/>
      <x:c r="B21" s="6"/>
      <x:c r="C21" s="6"/>
      <x:c r="D21" s="4"/>
      <x:c r="E21" s="4" t="str">
        <x:v>East</x:v>
      </x:c>
      <x:c r="F21" s="180" t="n">
        <x:f>SUMIFS(RAW_DATA!L2:L301,RAW_DATA!E2:E301,E21)</x:f>
        <x:v>13681950</x:v>
      </x:c>
      <x:c r="G21" s="4"/>
      <x:c r="H21" s="4" t="str">
        <x:v>Electronics</x:v>
      </x:c>
      <x:c r="I21" s="180" t="n">
        <x:f>SUMIFS(RAW_DATA!N2:N301,RAW_DATA!H2:H301,H21)</x:f>
        <x:v>5582270</x:v>
      </x:c>
      <x:c r="J21" s="4" t="str">
        <x:v>Online</x:v>
      </x:c>
      <x:c r="K21" s="180" t="n">
        <x:f>SUMIFS(RAW_DATA!L2:L301,RAW_DATA!Q2:Q301,J21)</x:f>
        <x:v>19411040</x:v>
      </x:c>
      <x:c r="L21" s="4"/>
      <x:c r="M21" s="4" t="str">
        <x:v>New</x:v>
      </x:c>
      <x:c r="N21" s="180" t="n">
        <x:f>SUMIFS(RAW_DATA!L2:L301,RAW_DATA!P2:P301,M21)</x:f>
        <x:v>14725010</x:v>
      </x:c>
      <x:c r="O21" s="4"/>
      <x:c r="P21" s="4"/>
      <x:c r="Q21" s="4"/>
    </x:row>
    <x:row r="22" ht="22" customHeight="1">
      <x:c r="A22" s="24" t="str">
        <x:v>Data Dictionary</x:v>
      </x:c>
      <x:c r="B22" s="24"/>
      <x:c r="C22" s="24"/>
      <x:c r="D22" s="4"/>
      <x:c r="E22" s="4" t="str">
        <x:v>West</x:v>
      </x:c>
      <x:c r="F22" s="180" t="n">
        <x:f>SUMIFS(RAW_DATA!L2:L301,RAW_DATA!E2:E301,E22)</x:f>
        <x:v>11153570</x:v>
      </x:c>
      <x:c r="G22" s="4"/>
      <x:c r="H22" s="4" t="str">
        <x:v>Office</x:v>
      </x:c>
      <x:c r="I22" s="180" t="n">
        <x:f>SUMIFS(RAW_DATA!N2:N301,RAW_DATA!H2:H301,H22)</x:f>
        <x:v>3400600</x:v>
      </x:c>
      <x:c r="J22" s="4" t="str">
        <x:v>Offline</x:v>
      </x:c>
      <x:c r="K22" s="180" t="n">
        <x:f>SUMIFS(RAW_DATA!L2:L301,RAW_DATA!Q2:Q301,J22)</x:f>
        <x:v>23856670</x:v>
      </x:c>
      <x:c r="L22" s="4"/>
      <x:c r="M22" s="4" t="str">
        <x:v>Existing</x:v>
      </x:c>
      <x:c r="N22" s="180" t="n">
        <x:f>SUMIFS(RAW_DATA!L2:L301,RAW_DATA!P2:P301,M22)</x:f>
        <x:v>28542700</x:v>
      </x:c>
      <x:c r="O22" s="4"/>
      <x:c r="P22" s="4"/>
      <x:c r="Q22" s="4"/>
    </x:row>
    <x:row r="23" ht="22" customHeight="1">
      <x:c r="A23" s="24"/>
      <x:c r="B23" s="24"/>
      <x:c r="C23" s="24"/>
      <x:c r="D23" s="4"/>
      <x:c r="E23" s="4" t="str">
        <x:v>North</x:v>
      </x:c>
      <x:c r="F23" s="180" t="n">
        <x:f>SUMIFS(RAW_DATA!L2:L301,RAW_DATA!E2:E301,E23)</x:f>
        <x:v>8015020</x:v>
      </x:c>
      <x:c r="G23" s="4"/>
      <x:c r="H23" s="4" t="str">
        <x:v>Home</x:v>
      </x:c>
      <x:c r="I23" s="180" t="n">
        <x:f>SUMIFS(RAW_DATA!N2:N301,RAW_DATA!H2:H301,H23)</x:f>
        <x:v>3472360</x:v>
      </x:c>
      <x:c r="J23" s="4"/>
      <x:c r="K23" s="4"/>
      <x:c r="L23" s="4"/>
      <x:c r="M23" s="4"/>
      <x:c r="N23" s="4"/>
      <x:c r="O23" s="4"/>
      <x:c r="P23" s="4"/>
      <x:c r="Q23" s="4"/>
    </x:row>
    <x:row r="24" ht="22" customHeight="1">
      <x:c r="A24" s="6"/>
      <x:c r="B24" s="6"/>
      <x:c r="C24" s="6"/>
      <x:c r="D24" s="4"/>
      <x:c r="E24" s="4" t="str">
        <x:v>South</x:v>
      </x:c>
      <x:c r="F24" s="180" t="n">
        <x:f>SUMIFS(RAW_DATA!L2:L301,RAW_DATA!E2:E301,E24)</x:f>
        <x:v>10417170</x:v>
      </x:c>
      <x:c r="G24" s="4"/>
      <x:c r="H24" s="4" t="str">
        <x:v>Accessories</x:v>
      </x:c>
      <x:c r="I24" s="180" t="n">
        <x:f>SUMIFS(RAW_DATA!N2:N301,RAW_DATA!H2:H301,H24)</x:f>
        <x:v>1255660</x:v>
      </x:c>
      <x:c r="J24" s="4"/>
      <x:c r="K24" s="4"/>
      <x:c r="L24" s="4"/>
      <x:c r="M24" s="4"/>
      <x:c r="N24" s="4"/>
      <x:c r="O24" s="4"/>
      <x:c r="P24" s="4"/>
      <x:c r="Q24" s="4"/>
    </x:row>
    <x:row r="25" ht="22" customHeight="1">
      <x:c r="A25" s="24" t="str">
        <x:v>Settings</x:v>
      </x:c>
      <x:c r="B25" s="24"/>
      <x:c r="C25" s="2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2" customHeight="1">
      <x:c r="A26" s="24"/>
      <x:c r="B26" s="24"/>
      <x:c r="C26" s="2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</x:row>
    <x:row r="27" ht="22" customHeight="1">
      <x:c r="A27" s="6"/>
      <x:c r="B27" s="6"/>
      <x:c r="C27" s="6"/>
      <x:c r="D27" s="4"/>
      <x:c r="E27" s="238" t="str">
        <x:v>Executive</x:v>
      </x:c>
      <x:c r="F27" s="238" t="str">
        <x:v>Revenue</x:v>
      </x:c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2" customHeight="1">
      <x:c r="A28" s="6"/>
      <x:c r="B28" s="6"/>
      <x:c r="C28" s="6"/>
      <x:c r="D28" s="4"/>
      <x:c r="E28" s="4" t="str">
        <x:v>Aarav Sen</x:v>
      </x:c>
      <x:c r="F28" s="180" t="n">
        <x:f>SUMIFS(RAW_DATA!L2:L301,RAW_DATA!G2:G301,E28)</x:f>
        <x:v>7126610</x:v>
      </x:c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2" customHeight="1">
      <x:c r="A29" s="6"/>
      <x:c r="B29" s="6"/>
      <x:c r="C29" s="6"/>
      <x:c r="D29" s="4"/>
      <x:c r="E29" s="4" t="str">
        <x:v>Riya Das</x:v>
      </x:c>
      <x:c r="F29" s="180" t="n">
        <x:f>SUMIFS(RAW_DATA!L2:L301,RAW_DATA!G2:G301,E29)</x:f>
        <x:v>6555340</x:v>
      </x:c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2" customHeight="1">
      <x:c r="A30" s="6"/>
      <x:c r="B30" s="6"/>
      <x:c r="C30" s="6"/>
      <x:c r="D30" s="4"/>
      <x:c r="E30" s="4" t="str">
        <x:v>Kabir Shah</x:v>
      </x:c>
      <x:c r="F30" s="180" t="n">
        <x:f>SUMIFS(RAW_DATA!L2:L301,RAW_DATA!G2:G301,E30)</x:f>
        <x:v>6131070</x:v>
      </x:c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22" customHeight="1">
      <x:c r="A31" s="6"/>
      <x:c r="B31" s="6"/>
      <x:c r="C31" s="6"/>
      <x:c r="D31" s="4"/>
      <x:c r="E31" s="4" t="str">
        <x:v>Meera Patel</x:v>
      </x:c>
      <x:c r="F31" s="180" t="n">
        <x:f>SUMIFS(RAW_DATA!L2:L301,RAW_DATA!G2:G301,E31)</x:f>
        <x:v>5022500</x:v>
      </x:c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2" customHeight="1">
      <x:c r="A32" s="6"/>
      <x:c r="B32" s="6"/>
      <x:c r="C32" s="6"/>
      <x:c r="D32" s="4"/>
      <x:c r="E32" s="4" t="str">
        <x:v>Arjun Malhotra</x:v>
      </x:c>
      <x:c r="F32" s="180" t="n">
        <x:f>SUMIFS(RAW_DATA!L2:L301,RAW_DATA!G2:G301,E32)</x:f>
        <x:v>3892280</x:v>
      </x:c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2" customHeight="1">
      <x:c r="A33" s="6"/>
      <x:c r="B33" s="6"/>
      <x:c r="C33" s="6"/>
      <x:c r="D33" s="4"/>
      <x:c r="E33" s="4" t="str">
        <x:v>Neha Verma</x:v>
      </x:c>
      <x:c r="F33" s="180" t="n">
        <x:f>SUMIFS(RAW_DATA!L2:L301,RAW_DATA!G2:G301,E33)</x:f>
        <x:v>4122740</x:v>
      </x:c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2" customHeight="1">
      <x:c r="A34" s="6"/>
      <x:c r="B34" s="6"/>
      <x:c r="C34" s="6"/>
      <x:c r="D34" s="4"/>
      <x:c r="E34" s="4" t="str">
        <x:v>Vikram Rao</x:v>
      </x:c>
      <x:c r="F34" s="180" t="n">
        <x:f>SUMIFS(RAW_DATA!L2:L301,RAW_DATA!G2:G301,E34)</x:f>
        <x:v>4656960</x:v>
      </x:c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2" customHeight="1">
      <x:c r="A35" s="6"/>
      <x:c r="B35" s="6"/>
      <x:c r="C35" s="6"/>
      <x:c r="D35" s="4"/>
      <x:c r="E35" s="4" t="str">
        <x:v>Ananya Iyer</x:v>
      </x:c>
      <x:c r="F35" s="180" t="n">
        <x:f>SUMIFS(RAW_DATA!L2:L301,RAW_DATA!G2:G301,E35)</x:f>
        <x:v>5760210</x:v>
      </x:c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2" customHeight="1">
      <x:c r="A36" s="6"/>
      <x:c r="B36" s="6"/>
      <x:c r="C36" s="6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2" customHeight="1">
      <x:c r="A37" s="6"/>
      <x:c r="B37" s="6"/>
      <x:c r="C37" s="6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2" customHeight="1">
      <x:c r="A38" s="6"/>
      <x:c r="B38" s="6"/>
      <x:c r="C38" s="6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2" customHeight="1">
      <x:c r="A39" s="32" t="str">
        <x:v>Last Updated
07-Aug-2026
10:51 AM</x:v>
      </x:c>
      <x:c r="B39" s="32"/>
      <x:c r="C39" s="32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2" customHeight="1">
      <x:c r="A40" s="32"/>
      <x:c r="B40" s="32"/>
      <x:c r="C40" s="32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2" customHeight="1">
      <x:c r="A41" s="32"/>
      <x:c r="B41" s="32"/>
      <x:c r="C41" s="32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2" customHeight="1">
      <x:c r="A42" s="32"/>
      <x:c r="B42" s="32"/>
      <x:c r="C42" s="32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2" customHeight="1">
      <x:c r="A43" s="32"/>
      <x:c r="B43" s="32"/>
      <x:c r="C43" s="32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2" customHeight="1">
      <x:c r="A44" s="6"/>
      <x:c r="B44" s="6"/>
      <x:c r="C44" s="6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2" customHeight="1">
      <x:c r="A45" s="6"/>
      <x:c r="B45" s="6"/>
      <x:c r="C45" s="6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39:C43"/>
    <x:mergeCell ref="E2:P3"/>
    <x:mergeCell ref="E5:H10"/>
    <x:mergeCell ref="I5:L10"/>
    <x:mergeCell ref="M5:P10"/>
    <x:mergeCell ref="E12:H17"/>
    <x:mergeCell ref="I12:L17"/>
    <x:mergeCell ref="M12:P17"/>
  </x:mergeCells>
  <x:conditionalFormatting sqref="F28:F35">
    <x:cfRule type="dataBar" priority="1">
      <x:dataBar>
        <x:cfvo type="min"/>
        <x:cfvo type="max"/>
        <x:color rgb="FF2979FF"/>
      </x:dataBar>
      <x:extLst>
        <x:ext xmlns:x14="http://schemas.microsoft.com/office/spreadsheetml/2009/9/main" uri="{B025F937-C7B1-47D3-B67F-A62EFF666E3E}">
          <x14:id>{14BAB180-DA55-7187-F5CB-779F6D9EF312}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4BAB180-DA55-7187-F5CB-779F6D9EF312}">
            <x14:dataBar gradient="1">
              <x14:cfvo type="min"/>
              <x14:cfvo type="max"/>
              <x14:fillColor rgb="FF2979FF"/>
            </x14:dataBar>
          </x14:cfRule>
          <xm:sqref>F28:F35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6"/>
      <x:c r="B1" s="6"/>
      <x:c r="C1" s="6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10" t="str">
        <x:v>SalesIQ</x:v>
      </x:c>
      <x:c r="B2" s="10"/>
      <x:c r="C2" s="10"/>
      <x:c r="D2" s="4"/>
      <x:c r="E2" s="145" t="str">
        <x:v>Forecast</x:v>
      </x:c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  <x:c r="Q2" s="4"/>
    </x:row>
    <x:row r="3" ht="22" customHeight="1">
      <x:c r="A3" s="10"/>
      <x:c r="B3" s="10"/>
      <x:c r="C3" s="10"/>
      <x:c r="D3" s="4"/>
      <x:c r="E3" s="145"/>
      <x:c r="F3" s="145"/>
      <x:c r="G3" s="145"/>
      <x:c r="H3" s="145"/>
      <x:c r="I3" s="145"/>
      <x:c r="J3" s="145"/>
      <x:c r="K3" s="145"/>
      <x:c r="L3" s="145"/>
      <x:c r="M3" s="145"/>
      <x:c r="N3" s="145"/>
      <x:c r="O3" s="145"/>
      <x:c r="P3" s="145"/>
      <x:c r="Q3" s="4"/>
    </x:row>
    <x:row r="4" ht="22" customHeight="1">
      <x:c r="A4" s="10"/>
      <x:c r="B4" s="10"/>
      <x:c r="C4" s="10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22" customHeight="1">
      <x:c r="A5" s="10"/>
      <x:c r="B5" s="10"/>
      <x:c r="C5" s="10"/>
      <x:c r="D5" s="4"/>
      <x:c r="E5" s="182" t="str">
        <x:v>Month</x:v>
      </x:c>
      <x:c r="F5" s="182" t="str">
        <x:v>Revenue</x:v>
      </x:c>
      <x:c r="G5" s="182" t="str">
        <x:v>MoM Growth</x:v>
      </x:c>
      <x:c r="H5" s="4"/>
      <x:c r="I5" s="190" t="n">
        <x:f>AVERAGE(F15:F17)*(1+AVERAGE(G15:G17))</x:f>
        <x:v>5572856.924449065</x:v>
      </x:c>
      <x:c r="J5" s="190"/>
      <x:c r="K5" s="190"/>
      <x:c r="L5" s="190"/>
      <x:c r="M5" s="190"/>
      <x:c r="N5" s="190"/>
      <x:c r="O5" s="190"/>
      <x:c r="P5" s="190"/>
      <x:c r="Q5" s="4"/>
    </x:row>
    <x:row r="6" ht="22" customHeight="1">
      <x:c r="A6" s="6"/>
      <x:c r="B6" s="6"/>
      <x:c r="C6" s="6"/>
      <x:c r="D6" s="4"/>
      <x:c r="E6" s="4" t="str">
        <x:v>Jan</x:v>
      </x:c>
      <x:c r="F6" s="180" t="n">
        <x:f>SUMIFS(RAW_DATA!L2:L301,RAW_DATA!C2:C301,E6)</x:f>
        <x:v>4499480</x:v>
      </x:c>
      <x:c r="G6" s="184"/>
      <x:c r="H6" s="4"/>
      <x:c r="I6" s="190"/>
      <x:c r="J6" s="190"/>
      <x:c r="K6" s="190"/>
      <x:c r="L6" s="190"/>
      <x:c r="M6" s="190"/>
      <x:c r="N6" s="190"/>
      <x:c r="O6" s="190"/>
      <x:c r="P6" s="190"/>
      <x:c r="Q6" s="4"/>
    </x:row>
    <x:row r="7" ht="22" customHeight="1">
      <x:c r="A7" s="24" t="str">
        <x:v>Home</x:v>
      </x:c>
      <x:c r="B7" s="24"/>
      <x:c r="C7" s="24"/>
      <x:c r="D7" s="4"/>
      <x:c r="E7" s="4" t="str">
        <x:v>Feb</x:v>
      </x:c>
      <x:c r="F7" s="180" t="n">
        <x:f>SUMIFS(RAW_DATA!L2:L301,RAW_DATA!C2:C301,E7)</x:f>
        <x:v>3195070</x:v>
      </x:c>
      <x:c r="G7" s="184" t="n">
        <x:f>IFERROR((F7-F6)/F6,0)</x:f>
        <x:v>-0.28990238872047436</x:v>
      </x:c>
      <x:c r="H7" s="4"/>
      <x:c r="I7" s="190"/>
      <x:c r="J7" s="190"/>
      <x:c r="K7" s="190"/>
      <x:c r="L7" s="190"/>
      <x:c r="M7" s="190"/>
      <x:c r="N7" s="190"/>
      <x:c r="O7" s="190"/>
      <x:c r="P7" s="190"/>
      <x:c r="Q7" s="4"/>
    </x:row>
    <x:row r="8" ht="22" customHeight="1">
      <x:c r="A8" s="24"/>
      <x:c r="B8" s="24"/>
      <x:c r="C8" s="24"/>
      <x:c r="D8" s="4"/>
      <x:c r="E8" s="4" t="str">
        <x:v>Mar</x:v>
      </x:c>
      <x:c r="F8" s="180" t="n">
        <x:f>SUMIFS(RAW_DATA!L2:L301,RAW_DATA!C2:C301,E8)</x:f>
        <x:v>4326580</x:v>
      </x:c>
      <x:c r="G8" s="184" t="n">
        <x:f>IFERROR((F8-F7)/F7,0)</x:f>
        <x:v>0.354142475751705</x:v>
      </x:c>
      <x:c r="H8" s="4"/>
      <x:c r="I8" s="190"/>
      <x:c r="J8" s="190"/>
      <x:c r="K8" s="190"/>
      <x:c r="L8" s="190"/>
      <x:c r="M8" s="190"/>
      <x:c r="N8" s="190"/>
      <x:c r="O8" s="190"/>
      <x:c r="P8" s="190"/>
      <x:c r="Q8" s="4"/>
    </x:row>
    <x:row r="9" ht="22" customHeight="1">
      <x:c r="A9" s="6"/>
      <x:c r="B9" s="6"/>
      <x:c r="C9" s="6"/>
      <x:c r="D9" s="4"/>
      <x:c r="E9" s="4" t="str">
        <x:v>Apr</x:v>
      </x:c>
      <x:c r="F9" s="180" t="n">
        <x:f>SUMIFS(RAW_DATA!L2:L301,RAW_DATA!C2:C301,E9)</x:f>
        <x:v>4079310</x:v>
      </x:c>
      <x:c r="G9" s="184" t="n">
        <x:f>IFERROR((F9-F8)/F8,0)</x:f>
        <x:v>-0.0571513759135391</x:v>
      </x:c>
      <x:c r="H9" s="4"/>
      <x:c r="I9" s="4"/>
      <x:c r="J9" s="4"/>
      <x:c r="K9" s="4"/>
      <x:c r="L9" s="4"/>
      <x:c r="M9" s="4"/>
      <x:c r="N9" s="4"/>
      <x:c r="O9" s="4"/>
      <x:c r="P9" s="4"/>
      <x:c r="Q9" s="4"/>
    </x:row>
    <x:row r="10" ht="22" customHeight="1">
      <x:c r="A10" s="24" t="str">
        <x:v>Dashboard</x:v>
      </x:c>
      <x:c r="B10" s="24"/>
      <x:c r="C10" s="24"/>
      <x:c r="D10" s="4"/>
      <x:c r="E10" s="4" t="str">
        <x:v>May</x:v>
      </x:c>
      <x:c r="F10" s="180" t="n">
        <x:f>SUMIFS(RAW_DATA!L2:L301,RAW_DATA!C2:C301,E10)</x:f>
        <x:v>3468330</x:v>
      </x:c>
      <x:c r="G10" s="184" t="n">
        <x:f>IFERROR((F10-F9)/F9,0)</x:f>
        <x:v>-0.1497753296513381</x:v>
      </x:c>
      <x:c r="H10" s="4"/>
      <x:c r="I10" s="4"/>
      <x:c r="J10" s="4"/>
      <x:c r="K10" s="4"/>
      <x:c r="L10" s="4"/>
      <x:c r="M10" s="4"/>
      <x:c r="N10" s="4"/>
      <x:c r="O10" s="4"/>
      <x:c r="P10" s="4"/>
      <x:c r="Q10" s="4"/>
    </x:row>
    <x:row r="11" ht="22" customHeight="1">
      <x:c r="A11" s="24"/>
      <x:c r="B11" s="24"/>
      <x:c r="C11" s="24"/>
      <x:c r="D11" s="4"/>
      <x:c r="E11" s="4" t="str">
        <x:v>Jun</x:v>
      </x:c>
      <x:c r="F11" s="180" t="n">
        <x:f>SUMIFS(RAW_DATA!L2:L301,RAW_DATA!C2:C301,E11)</x:f>
        <x:v>3595620</x:v>
      </x:c>
      <x:c r="G11" s="184" t="n">
        <x:f>IFERROR((F11-F10)/F10,0)</x:f>
        <x:v>0.03670065997180199</x:v>
      </x:c>
      <x:c r="H11" s="4"/>
      <x:c r="I11" s="4"/>
      <x:c r="J11" s="4"/>
      <x:c r="K11" s="4"/>
      <x:c r="L11" s="4"/>
      <x:c r="M11" s="4"/>
      <x:c r="N11" s="4"/>
      <x:c r="O11" s="4"/>
      <x:c r="P11" s="4"/>
      <x:c r="Q11" s="4"/>
    </x:row>
    <x:row r="12" ht="22" customHeight="1">
      <x:c r="A12" s="6"/>
      <x:c r="B12" s="6"/>
      <x:c r="C12" s="6"/>
      <x:c r="D12" s="4"/>
      <x:c r="E12" s="4" t="str">
        <x:v>Jul</x:v>
      </x:c>
      <x:c r="F12" s="180" t="n">
        <x:f>SUMIFS(RAW_DATA!L2:L301,RAW_DATA!C2:C301,E12)</x:f>
        <x:v>3875290</x:v>
      </x:c>
      <x:c r="G12" s="184" t="n">
        <x:f>IFERROR((F12-F11)/F11,0)</x:f>
        <x:v>0.07778074435007036</x:v>
      </x:c>
      <x:c r="H12" s="4"/>
      <x:c r="I12" s="4"/>
      <x:c r="J12" s="4"/>
      <x:c r="K12" s="4"/>
      <x:c r="L12" s="4"/>
      <x:c r="M12" s="4"/>
      <x:c r="N12" s="4"/>
      <x:c r="O12" s="4"/>
      <x:c r="P12" s="4"/>
      <x:c r="Q12" s="4"/>
    </x:row>
    <x:row r="13" ht="22" customHeight="1">
      <x:c r="A13" s="24" t="str">
        <x:v>KPI Center</x:v>
      </x:c>
      <x:c r="B13" s="24"/>
      <x:c r="C13" s="24"/>
      <x:c r="D13" s="4"/>
      <x:c r="E13" s="4" t="str">
        <x:v>Aug</x:v>
      </x:c>
      <x:c r="F13" s="180" t="n">
        <x:f>SUMIFS(RAW_DATA!L2:L301,RAW_DATA!C2:C301,E13)</x:f>
        <x:v>3234200</x:v>
      </x:c>
      <x:c r="G13" s="184" t="n">
        <x:f>IFERROR((F13-F12)/F12,0)</x:f>
        <x:v>-0.16543020006244694</x:v>
      </x:c>
      <x:c r="H13" s="4"/>
      <x:c r="I13" s="4"/>
      <x:c r="J13" s="4"/>
      <x:c r="K13" s="4"/>
      <x:c r="L13" s="4"/>
      <x:c r="M13" s="4"/>
      <x:c r="N13" s="4"/>
      <x:c r="O13" s="4"/>
      <x:c r="P13" s="4"/>
      <x:c r="Q13" s="4"/>
    </x:row>
    <x:row r="14" ht="22" customHeight="1">
      <x:c r="A14" s="24"/>
      <x:c r="B14" s="24"/>
      <x:c r="C14" s="24"/>
      <x:c r="D14" s="4"/>
      <x:c r="E14" s="4" t="str">
        <x:v>Sep</x:v>
      </x:c>
      <x:c r="F14" s="180" t="n">
        <x:f>SUMIFS(RAW_DATA!L2:L301,RAW_DATA!C2:C301,E14)</x:f>
        <x:v>2047940</x:v>
      </x:c>
      <x:c r="G14" s="184" t="n">
        <x:f>IFERROR((F14-F13)/F13,0)</x:f>
        <x:v>-0.36678622224970625</x:v>
      </x:c>
      <x:c r="H14" s="4"/>
      <x:c r="I14" s="4"/>
      <x:c r="J14" s="4"/>
      <x:c r="K14" s="4"/>
      <x:c r="L14" s="4"/>
      <x:c r="M14" s="4"/>
      <x:c r="N14" s="4"/>
      <x:c r="O14" s="4"/>
      <x:c r="P14" s="4"/>
      <x:c r="Q14" s="4"/>
    </x:row>
    <x:row r="15" ht="22" customHeight="1">
      <x:c r="A15" s="6"/>
      <x:c r="B15" s="6"/>
      <x:c r="C15" s="6"/>
      <x:c r="D15" s="4"/>
      <x:c r="E15" s="4" t="str">
        <x:v>Oct</x:v>
      </x:c>
      <x:c r="F15" s="180" t="n">
        <x:f>SUMIFS(RAW_DATA!L2:L301,RAW_DATA!C2:C301,E15)</x:f>
        <x:v>4249500</x:v>
      </x:c>
      <x:c r="G15" s="184" t="n">
        <x:f>IFERROR((F15-F14)/F14,0)</x:f>
        <x:v>1.0750119632411106</x:v>
      </x:c>
      <x:c r="H15" s="4"/>
      <x:c r="I15" s="4"/>
      <x:c r="J15" s="4"/>
      <x:c r="K15" s="4"/>
      <x:c r="L15" s="4"/>
      <x:c r="M15" s="4"/>
      <x:c r="N15" s="4"/>
      <x:c r="O15" s="4"/>
      <x:c r="P15" s="4"/>
      <x:c r="Q15" s="4"/>
    </x:row>
    <x:row r="16" ht="22" customHeight="1">
      <x:c r="A16" s="17" t="str">
        <x:v>Forecast</x:v>
      </x:c>
      <x:c r="B16" s="17"/>
      <x:c r="C16" s="17"/>
      <x:c r="D16" s="4"/>
      <x:c r="E16" s="4" t="str">
        <x:v>Nov</x:v>
      </x:c>
      <x:c r="F16" s="180" t="n">
        <x:f>SUMIFS(RAW_DATA!L2:L301,RAW_DATA!C2:C301,E16)</x:f>
        <x:v>2248630</x:v>
      </x:c>
      <x:c r="G16" s="184" t="n">
        <x:f>IFERROR((F16-F15)/F15,0)</x:f>
        <x:v>-0.47084833509824686</x:v>
      </x:c>
      <x:c r="H16" s="4"/>
      <x:c r="I16" s="4"/>
      <x:c r="J16" s="4"/>
      <x:c r="K16" s="4"/>
      <x:c r="L16" s="4"/>
      <x:c r="M16" s="4"/>
      <x:c r="N16" s="4"/>
      <x:c r="O16" s="4"/>
      <x:c r="P16" s="4"/>
      <x:c r="Q16" s="4"/>
    </x:row>
    <x:row r="17" ht="22" customHeight="1">
      <x:c r="A17" s="17"/>
      <x:c r="B17" s="17"/>
      <x:c r="C17" s="17"/>
      <x:c r="D17" s="4"/>
      <x:c r="E17" s="4" t="str">
        <x:v>Dec</x:v>
      </x:c>
      <x:c r="F17" s="180" t="n">
        <x:f>SUMIFS(RAW_DATA!L2:L301,RAW_DATA!C2:C301,E17)</x:f>
        <x:v>4447760</x:v>
      </x:c>
      <x:c r="G17" s="184" t="n">
        <x:f>IFERROR((F17-F16)/F16,0)</x:f>
        <x:v>0.9779865962830702</x:v>
      </x:c>
      <x:c r="H17" s="4"/>
      <x:c r="I17" s="4"/>
      <x:c r="J17" s="4"/>
      <x:c r="K17" s="4"/>
      <x:c r="L17" s="4"/>
      <x:c r="M17" s="4"/>
      <x:c r="N17" s="4"/>
      <x:c r="O17" s="4"/>
      <x:c r="P17" s="4"/>
      <x:c r="Q17" s="4"/>
    </x:row>
    <x:row r="18" ht="22" customHeight="1">
      <x:c r="A18" s="6"/>
      <x:c r="B18" s="6"/>
      <x:c r="C18" s="6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2" customHeight="1">
      <x:c r="A19" s="24" t="str">
        <x:v>Reports</x:v>
      </x:c>
      <x:c r="B19" s="24"/>
      <x:c r="C19" s="2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2" customHeight="1">
      <x:c r="A20" s="24"/>
      <x:c r="B20" s="24"/>
      <x:c r="C20" s="2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</x:row>
    <x:row r="21" ht="22" customHeight="1">
      <x:c r="A21" s="6"/>
      <x:c r="B21" s="6"/>
      <x:c r="C21" s="6"/>
      <x:c r="D21" s="4"/>
      <x:c r="E21" s="238" t="str">
        <x:v>Quarter</x:v>
      </x:c>
      <x:c r="F21" s="238" t="str">
        <x:v>Revenue</x:v>
      </x:c>
      <x:c r="G21" s="238" t="str">
        <x:v>Profit</x:v>
      </x:c>
      <x:c r="H21" s="4"/>
      <x:c r="I21" s="4"/>
      <x:c r="J21" s="4"/>
      <x:c r="K21" s="4"/>
      <x:c r="L21" s="4"/>
      <x:c r="M21" s="4"/>
      <x:c r="N21" s="4"/>
      <x:c r="O21" s="4"/>
      <x:c r="P21" s="4"/>
      <x:c r="Q21" s="4"/>
    </x:row>
    <x:row r="22" ht="22" customHeight="1">
      <x:c r="A22" s="24" t="str">
        <x:v>Data Dictionary</x:v>
      </x:c>
      <x:c r="B22" s="24"/>
      <x:c r="C22" s="24"/>
      <x:c r="D22" s="4"/>
      <x:c r="E22" s="4" t="str">
        <x:v>Q1</x:v>
      </x:c>
      <x:c r="F22" s="180" t="n">
        <x:f>SUMIFS(RAW_DATA!L2:L301,RAW_DATA!D2:D301,E22)</x:f>
        <x:v>12021130</x:v>
      </x:c>
      <x:c r="G22" s="180" t="n">
        <x:f>SUMIFS(RAW_DATA!N2:N301,RAW_DATA!D2:D301,E22)</x:f>
        <x:v>3845920</x:v>
      </x:c>
      <x:c r="H22" s="4"/>
      <x:c r="I22" s="4"/>
      <x:c r="J22" s="4"/>
      <x:c r="K22" s="4"/>
      <x:c r="L22" s="4"/>
      <x:c r="M22" s="4"/>
      <x:c r="N22" s="4"/>
      <x:c r="O22" s="4"/>
      <x:c r="P22" s="4"/>
      <x:c r="Q22" s="4"/>
    </x:row>
    <x:row r="23" ht="22" customHeight="1">
      <x:c r="A23" s="24"/>
      <x:c r="B23" s="24"/>
      <x:c r="C23" s="24"/>
      <x:c r="D23" s="4"/>
      <x:c r="E23" s="4" t="str">
        <x:v>Q2</x:v>
      </x:c>
      <x:c r="F23" s="180" t="n">
        <x:f>SUMIFS(RAW_DATA!L2:L301,RAW_DATA!D2:D301,E23)</x:f>
        <x:v>11143260</x:v>
      </x:c>
      <x:c r="G23" s="180" t="n">
        <x:f>SUMIFS(RAW_DATA!N2:N301,RAW_DATA!D2:D301,E23)</x:f>
        <x:v>3479290</x:v>
      </x:c>
      <x:c r="H23" s="4"/>
      <x:c r="I23" s="4"/>
      <x:c r="J23" s="4"/>
      <x:c r="K23" s="4"/>
      <x:c r="L23" s="4"/>
      <x:c r="M23" s="4"/>
      <x:c r="N23" s="4"/>
      <x:c r="O23" s="4"/>
      <x:c r="P23" s="4"/>
      <x:c r="Q23" s="4"/>
    </x:row>
    <x:row r="24" ht="22" customHeight="1">
      <x:c r="A24" s="6"/>
      <x:c r="B24" s="6"/>
      <x:c r="C24" s="6"/>
      <x:c r="D24" s="4"/>
      <x:c r="E24" s="4" t="str">
        <x:v>Q3</x:v>
      </x:c>
      <x:c r="F24" s="180" t="n">
        <x:f>SUMIFS(RAW_DATA!L2:L301,RAW_DATA!D2:D301,E24)</x:f>
        <x:v>9157430</x:v>
      </x:c>
      <x:c r="G24" s="180" t="n">
        <x:f>SUMIFS(RAW_DATA!N2:N301,RAW_DATA!D2:D301,E24)</x:f>
        <x:v>2996580</x:v>
      </x:c>
      <x:c r="H24" s="4"/>
      <x:c r="I24" s="4"/>
      <x:c r="J24" s="4"/>
      <x:c r="K24" s="4"/>
      <x:c r="L24" s="4"/>
      <x:c r="M24" s="4"/>
      <x:c r="N24" s="4"/>
      <x:c r="O24" s="4"/>
      <x:c r="P24" s="4"/>
      <x:c r="Q24" s="4"/>
    </x:row>
    <x:row r="25" ht="22" customHeight="1">
      <x:c r="A25" s="24" t="str">
        <x:v>Settings</x:v>
      </x:c>
      <x:c r="B25" s="24"/>
      <x:c r="C25" s="24"/>
      <x:c r="D25" s="4"/>
      <x:c r="E25" s="4" t="str">
        <x:v>Q4</x:v>
      </x:c>
      <x:c r="F25" s="180" t="n">
        <x:f>SUMIFS(RAW_DATA!L2:L301,RAW_DATA!D2:D301,E25)</x:f>
        <x:v>10945890</x:v>
      </x:c>
      <x:c r="G25" s="180" t="n">
        <x:f>SUMIFS(RAW_DATA!N2:N301,RAW_DATA!D2:D301,E25)</x:f>
        <x:v>3389100</x:v>
      </x:c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2" customHeight="1">
      <x:c r="A26" s="24"/>
      <x:c r="B26" s="24"/>
      <x:c r="C26" s="2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</x:row>
    <x:row r="27" ht="22" customHeight="1">
      <x:c r="A27" s="6"/>
      <x:c r="B27" s="6"/>
      <x:c r="C27" s="6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2" customHeight="1">
      <x:c r="A28" s="6"/>
      <x:c r="B28" s="6"/>
      <x:c r="C28" s="6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2" customHeight="1">
      <x:c r="A29" s="6"/>
      <x:c r="B29" s="6"/>
      <x:c r="C29" s="6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2" customHeight="1">
      <x:c r="A30" s="6"/>
      <x:c r="B30" s="6"/>
      <x:c r="C30" s="6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22" customHeight="1">
      <x:c r="A31" s="6"/>
      <x:c r="B31" s="6"/>
      <x:c r="C31" s="6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2" customHeight="1">
      <x:c r="A32" s="6"/>
      <x:c r="B32" s="6"/>
      <x:c r="C32" s="6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2" customHeight="1">
      <x:c r="A33" s="6"/>
      <x:c r="B33" s="6"/>
      <x:c r="C33" s="6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2" customHeight="1">
      <x:c r="A34" s="6"/>
      <x:c r="B34" s="6"/>
      <x:c r="C34" s="6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2" customHeight="1">
      <x:c r="A35" s="6"/>
      <x:c r="B35" s="6"/>
      <x:c r="C35" s="6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2" customHeight="1">
      <x:c r="A36" s="6"/>
      <x:c r="B36" s="6"/>
      <x:c r="C36" s="6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2" customHeight="1">
      <x:c r="A37" s="6"/>
      <x:c r="B37" s="6"/>
      <x:c r="C37" s="6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2" customHeight="1">
      <x:c r="A38" s="6"/>
      <x:c r="B38" s="6"/>
      <x:c r="C38" s="6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2" customHeight="1">
      <x:c r="A39" s="32" t="str">
        <x:v>Last Updated
07-Aug-2026
10:51 AM</x:v>
      </x:c>
      <x:c r="B39" s="32"/>
      <x:c r="C39" s="32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2" customHeight="1">
      <x:c r="A40" s="32"/>
      <x:c r="B40" s="32"/>
      <x:c r="C40" s="32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2" customHeight="1">
      <x:c r="A41" s="32"/>
      <x:c r="B41" s="32"/>
      <x:c r="C41" s="32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2" customHeight="1">
      <x:c r="A42" s="32"/>
      <x:c r="B42" s="32"/>
      <x:c r="C42" s="32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2" customHeight="1">
      <x:c r="A43" s="32"/>
      <x:c r="B43" s="32"/>
      <x:c r="C43" s="32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2" customHeight="1">
      <x:c r="A44" s="6"/>
      <x:c r="B44" s="6"/>
      <x:c r="C44" s="6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2" customHeight="1">
      <x:c r="A45" s="6"/>
      <x:c r="B45" s="6"/>
      <x:c r="C45" s="6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39:C43"/>
    <x:mergeCell ref="E2:P3"/>
    <x:mergeCell ref="I5:P8"/>
  </x:mergeCells>
  <x:conditionalFormatting sqref="G6:G17">
    <x:cfRule type="colorScale" priority="1">
      <x:colorScale>
        <x:cfvo type="min"/>
        <x:cfvo type="percentile" val="50"/>
        <x:cfvo type="max"/>
        <x:color rgb="FF7F1D1D"/>
        <x:color rgb="FFB45309"/>
        <x:color rgb="FF166534"/>
      </x:colorScale>
    </x:cfRule>
  </x:conditionalFormatting>
  <x:pageMargins left="0.7" right="0.7" top="0.75" bottom="0.75" header="0.3" footer="0.3"/>
  <x:drawing xmlns:r="http://schemas.openxmlformats.org/officeDocument/2006/relationships" r:id="R22dce66e914840b0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6"/>
      <x:c r="B1" s="6"/>
      <x:c r="C1" s="6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10" t="str">
        <x:v>SalesIQ</x:v>
      </x:c>
      <x:c r="B2" s="10"/>
      <x:c r="C2" s="10"/>
      <x:c r="D2" s="4"/>
      <x:c r="E2" s="145" t="str">
        <x:v>Executive Report</x:v>
      </x:c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  <x:c r="Q2" s="4"/>
    </x:row>
    <x:row r="3" ht="22" customHeight="1">
      <x:c r="A3" s="10"/>
      <x:c r="B3" s="10"/>
      <x:c r="C3" s="10"/>
      <x:c r="D3" s="4"/>
      <x:c r="E3" s="145"/>
      <x:c r="F3" s="145"/>
      <x:c r="G3" s="145"/>
      <x:c r="H3" s="145"/>
      <x:c r="I3" s="145"/>
      <x:c r="J3" s="145"/>
      <x:c r="K3" s="145"/>
      <x:c r="L3" s="145"/>
      <x:c r="M3" s="145"/>
      <x:c r="N3" s="145"/>
      <x:c r="O3" s="145"/>
      <x:c r="P3" s="145"/>
      <x:c r="Q3" s="4"/>
    </x:row>
    <x:row r="4" ht="22" customHeight="1">
      <x:c r="A4" s="10"/>
      <x:c r="B4" s="10"/>
      <x:c r="C4" s="10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22" customHeight="1">
      <x:c r="A5" s="10"/>
      <x:c r="B5" s="10"/>
      <x:c r="C5" s="10"/>
      <x:c r="D5" s="4"/>
      <x:c r="E5" s="177" t="str">
        <x:v>Metric</x:v>
      </x:c>
      <x:c r="F5" s="177" t="str">
        <x:v>Value</x:v>
      </x:c>
      <x:c r="G5" s="4"/>
      <x:c r="H5" s="228" t="str">
        <x:v>EXECUTIVE SUMMARY
This report gives management a concise view of revenue, profit, target achievement, order quality and forward-looking revenue. Use Dashboard for visualization and KPI Center for performance monitoring.</x:v>
      </x:c>
      <x:c r="I5" s="228"/>
      <x:c r="J5" s="228"/>
      <x:c r="K5" s="228"/>
      <x:c r="L5" s="228"/>
      <x:c r="M5" s="228"/>
      <x:c r="N5" s="228"/>
      <x:c r="O5" s="228"/>
      <x:c r="P5" s="228"/>
      <x:c r="Q5" s="4"/>
    </x:row>
    <x:row r="6" ht="22" customHeight="1">
      <x:c r="A6" s="6"/>
      <x:c r="B6" s="6"/>
      <x:c r="C6" s="6"/>
      <x:c r="D6" s="4"/>
      <x:c r="E6" s="4" t="str">
        <x:v>Total Revenue</x:v>
      </x:c>
      <x:c r="F6" s="180" t="n">
        <x:f>SUM(RAW_DATA!L2:L301)</x:f>
        <x:v>43267710</x:v>
      </x:c>
      <x:c r="G6" s="4"/>
      <x:c r="H6" s="228"/>
      <x:c r="I6" s="228"/>
      <x:c r="J6" s="228"/>
      <x:c r="K6" s="228"/>
      <x:c r="L6" s="228"/>
      <x:c r="M6" s="228"/>
      <x:c r="N6" s="228"/>
      <x:c r="O6" s="228"/>
      <x:c r="P6" s="228"/>
      <x:c r="Q6" s="4"/>
    </x:row>
    <x:row r="7" ht="22" customHeight="1">
      <x:c r="A7" s="24" t="str">
        <x:v>Home</x:v>
      </x:c>
      <x:c r="B7" s="24"/>
      <x:c r="C7" s="24"/>
      <x:c r="D7" s="4"/>
      <x:c r="E7" s="4" t="str">
        <x:v>Total Profit</x:v>
      </x:c>
      <x:c r="F7" s="180" t="n">
        <x:f>SUM(RAW_DATA!N2:N301)</x:f>
        <x:v>13710890</x:v>
      </x:c>
      <x:c r="G7" s="4"/>
      <x:c r="H7" s="228"/>
      <x:c r="I7" s="228"/>
      <x:c r="J7" s="228"/>
      <x:c r="K7" s="228"/>
      <x:c r="L7" s="228"/>
      <x:c r="M7" s="228"/>
      <x:c r="N7" s="228"/>
      <x:c r="O7" s="228"/>
      <x:c r="P7" s="228"/>
      <x:c r="Q7" s="4"/>
    </x:row>
    <x:row r="8" ht="22" customHeight="1">
      <x:c r="A8" s="24"/>
      <x:c r="B8" s="24"/>
      <x:c r="C8" s="24"/>
      <x:c r="D8" s="4"/>
      <x:c r="E8" s="4" t="str">
        <x:v>Profit Margin</x:v>
      </x:c>
      <x:c r="F8" s="184" t="n">
        <x:f>SUM(RAW_DATA!N2:N301)/SUM(RAW_DATA!L2:L301)</x:f>
        <x:v>0.31688503967508336</x:v>
      </x:c>
      <x:c r="G8" s="4"/>
      <x:c r="H8" s="228"/>
      <x:c r="I8" s="228"/>
      <x:c r="J8" s="228"/>
      <x:c r="K8" s="228"/>
      <x:c r="L8" s="228"/>
      <x:c r="M8" s="228"/>
      <x:c r="N8" s="228"/>
      <x:c r="O8" s="228"/>
      <x:c r="P8" s="228"/>
      <x:c r="Q8" s="4"/>
    </x:row>
    <x:row r="9" ht="22" customHeight="1">
      <x:c r="A9" s="6"/>
      <x:c r="B9" s="6"/>
      <x:c r="C9" s="6"/>
      <x:c r="D9" s="4"/>
      <x:c r="E9" s="4" t="str">
        <x:v>Achievement</x:v>
      </x:c>
      <x:c r="F9" s="184" t="n">
        <x:f>SUM(RAW_DATA!L2:L301)/SUM(RAW_DATA!R2:R301)</x:f>
        <x:v>0.952246712517194</x:v>
      </x:c>
      <x:c r="G9" s="4"/>
      <x:c r="H9" s="228"/>
      <x:c r="I9" s="228"/>
      <x:c r="J9" s="228"/>
      <x:c r="K9" s="228"/>
      <x:c r="L9" s="228"/>
      <x:c r="M9" s="228"/>
      <x:c r="N9" s="228"/>
      <x:c r="O9" s="228"/>
      <x:c r="P9" s="228"/>
      <x:c r="Q9" s="4"/>
    </x:row>
    <x:row r="10" ht="22" customHeight="1">
      <x:c r="A10" s="24" t="str">
        <x:v>Dashboard</x:v>
      </x:c>
      <x:c r="B10" s="24"/>
      <x:c r="C10" s="24"/>
      <x:c r="D10" s="4"/>
      <x:c r="E10" s="4" t="str">
        <x:v>Average Order Value</x:v>
      </x:c>
      <x:c r="F10" s="180" t="n">
        <x:f>SUM(RAW_DATA!L2:L301)/COUNTA(RAW_DATA!A2:A301)</x:f>
        <x:v>144225.7</x:v>
      </x:c>
      <x:c r="G10" s="4"/>
      <x:c r="H10" s="228"/>
      <x:c r="I10" s="228"/>
      <x:c r="J10" s="228"/>
      <x:c r="K10" s="228"/>
      <x:c r="L10" s="228"/>
      <x:c r="M10" s="228"/>
      <x:c r="N10" s="228"/>
      <x:c r="O10" s="228"/>
      <x:c r="P10" s="228"/>
      <x:c r="Q10" s="4"/>
    </x:row>
    <x:row r="11" ht="22" customHeight="1">
      <x:c r="A11" s="24"/>
      <x:c r="B11" s="24"/>
      <x:c r="C11" s="24"/>
      <x:c r="D11" s="4"/>
      <x:c r="E11" s="4" t="str">
        <x:v>Completed Orders</x:v>
      </x:c>
      <x:c r="F11" s="180" t="n">
        <x:f>COUNTIFS(RAW_DATA!U2:U301,"Completed")</x:f>
        <x:v>272</x:v>
      </x:c>
      <x:c r="G11" s="4"/>
      <x:c r="H11" s="228"/>
      <x:c r="I11" s="228"/>
      <x:c r="J11" s="228"/>
      <x:c r="K11" s="228"/>
      <x:c r="L11" s="228"/>
      <x:c r="M11" s="228"/>
      <x:c r="N11" s="228"/>
      <x:c r="O11" s="228"/>
      <x:c r="P11" s="228"/>
      <x:c r="Q11" s="4"/>
    </x:row>
    <x:row r="12" ht="22" customHeight="1">
      <x:c r="A12" s="6"/>
      <x:c r="B12" s="6"/>
      <x:c r="C12" s="6"/>
      <x:c r="D12" s="4"/>
      <x:c r="E12" s="4" t="str">
        <x:v>Forecast</x:v>
      </x:c>
      <x:c r="F12" s="180" t="n">
        <x:f>Forecast!I5</x:f>
        <x:v>5572856.924449065</x:v>
      </x:c>
      <x:c r="G12" s="4"/>
      <x:c r="H12" s="228"/>
      <x:c r="I12" s="228"/>
      <x:c r="J12" s="228"/>
      <x:c r="K12" s="228"/>
      <x:c r="L12" s="228"/>
      <x:c r="M12" s="228"/>
      <x:c r="N12" s="228"/>
      <x:c r="O12" s="228"/>
      <x:c r="P12" s="228"/>
      <x:c r="Q12" s="4"/>
    </x:row>
    <x:row r="13" ht="22" customHeight="1">
      <x:c r="A13" s="24" t="str">
        <x:v>KPI Center</x:v>
      </x:c>
      <x:c r="B13" s="24"/>
      <x:c r="C13" s="24"/>
      <x:c r="D13" s="4"/>
      <x:c r="E13" s="4"/>
      <x:c r="F13" s="4"/>
      <x:c r="G13" s="4"/>
      <x:c r="H13" s="228"/>
      <x:c r="I13" s="228"/>
      <x:c r="J13" s="228"/>
      <x:c r="K13" s="228"/>
      <x:c r="L13" s="228"/>
      <x:c r="M13" s="228"/>
      <x:c r="N13" s="228"/>
      <x:c r="O13" s="228"/>
      <x:c r="P13" s="228"/>
      <x:c r="Q13" s="4"/>
    </x:row>
    <x:row r="14" ht="22" customHeight="1">
      <x:c r="A14" s="24"/>
      <x:c r="B14" s="24"/>
      <x:c r="C14" s="24"/>
      <x:c r="D14" s="4"/>
      <x:c r="E14" s="4"/>
      <x:c r="F14" s="4"/>
      <x:c r="G14" s="4"/>
      <x:c r="H14" s="228"/>
      <x:c r="I14" s="228"/>
      <x:c r="J14" s="228"/>
      <x:c r="K14" s="228"/>
      <x:c r="L14" s="228"/>
      <x:c r="M14" s="228"/>
      <x:c r="N14" s="228"/>
      <x:c r="O14" s="228"/>
      <x:c r="P14" s="228"/>
      <x:c r="Q14" s="4"/>
    </x:row>
    <x:row r="15" ht="22" customHeight="1">
      <x:c r="A15" s="6"/>
      <x:c r="B15" s="6"/>
      <x:c r="C15" s="6"/>
      <x:c r="D15" s="4"/>
      <x:c r="E15" s="4"/>
      <x:c r="F15" s="4"/>
      <x:c r="G15" s="4"/>
      <x:c r="H15" s="228"/>
      <x:c r="I15" s="228"/>
      <x:c r="J15" s="228"/>
      <x:c r="K15" s="228"/>
      <x:c r="L15" s="228"/>
      <x:c r="M15" s="228"/>
      <x:c r="N15" s="228"/>
      <x:c r="O15" s="228"/>
      <x:c r="P15" s="228"/>
      <x:c r="Q15" s="4"/>
    </x:row>
    <x:row r="16" ht="22" customHeight="1">
      <x:c r="A16" s="24" t="str">
        <x:v>Forecast</x:v>
      </x:c>
      <x:c r="B16" s="24"/>
      <x:c r="C16" s="24"/>
      <x:c r="D16" s="4"/>
      <x:c r="E16" s="4"/>
      <x:c r="F16" s="4"/>
      <x:c r="G16" s="4"/>
      <x:c r="H16" s="228"/>
      <x:c r="I16" s="228"/>
      <x:c r="J16" s="228"/>
      <x:c r="K16" s="228"/>
      <x:c r="L16" s="228"/>
      <x:c r="M16" s="228"/>
      <x:c r="N16" s="228"/>
      <x:c r="O16" s="228"/>
      <x:c r="P16" s="228"/>
      <x:c r="Q16" s="4"/>
    </x:row>
    <x:row r="17" ht="22" customHeight="1">
      <x:c r="A17" s="24"/>
      <x:c r="B17" s="24"/>
      <x:c r="C17" s="2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</x:row>
    <x:row r="18" ht="22" customHeight="1">
      <x:c r="A18" s="6"/>
      <x:c r="B18" s="6"/>
      <x:c r="C18" s="6"/>
      <x:c r="D18" s="4"/>
      <x:c r="E18" s="4"/>
      <x:c r="F18" s="4"/>
      <x:c r="G18" s="4"/>
      <x:c r="H18" s="378" t="str">
        <x:f>"MANAGEMENT RECOMMENDATION"&amp;CHAR(10)&amp;CHAR(10)&amp;"Top region: "&amp;Dashboard!F51&amp;CHAR(10)&amp;"Top category: "&amp;Dashboard!F52&amp;CHAR(10)&amp;"Top executive: "&amp;Dashboard!F53&amp;CHAR(10)&amp;"Target status: "&amp;Dashboard!F54</x:f>
        <x:v>MANAGEMENT RECOMMENDATION
Top region: East
Top category: Electronics
Top executive: Aarav Sen
Target status: Below Target</x:v>
      </x:c>
      <x:c r="I18" s="378"/>
      <x:c r="J18" s="378"/>
      <x:c r="K18" s="378"/>
      <x:c r="L18" s="378"/>
      <x:c r="M18" s="378"/>
      <x:c r="N18" s="378"/>
      <x:c r="O18" s="378"/>
      <x:c r="P18" s="378"/>
      <x:c r="Q18" s="4"/>
    </x:row>
    <x:row r="19" ht="22" customHeight="1">
      <x:c r="A19" s="17" t="str">
        <x:v>Reports</x:v>
      </x:c>
      <x:c r="B19" s="17"/>
      <x:c r="C19" s="17"/>
      <x:c r="D19" s="4"/>
      <x:c r="E19" s="4"/>
      <x:c r="F19" s="4"/>
      <x:c r="G19" s="4"/>
      <x:c r="H19" s="378"/>
      <x:c r="I19" s="378"/>
      <x:c r="J19" s="378"/>
      <x:c r="K19" s="378"/>
      <x:c r="L19" s="378"/>
      <x:c r="M19" s="378"/>
      <x:c r="N19" s="378"/>
      <x:c r="O19" s="378"/>
      <x:c r="P19" s="378"/>
      <x:c r="Q19" s="4"/>
    </x:row>
    <x:row r="20" ht="22" customHeight="1">
      <x:c r="A20" s="17"/>
      <x:c r="B20" s="17"/>
      <x:c r="C20" s="17"/>
      <x:c r="D20" s="4"/>
      <x:c r="E20" s="4"/>
      <x:c r="F20" s="4"/>
      <x:c r="G20" s="4"/>
      <x:c r="H20" s="378"/>
      <x:c r="I20" s="378"/>
      <x:c r="J20" s="378"/>
      <x:c r="K20" s="378"/>
      <x:c r="L20" s="378"/>
      <x:c r="M20" s="378"/>
      <x:c r="N20" s="378"/>
      <x:c r="O20" s="378"/>
      <x:c r="P20" s="378"/>
      <x:c r="Q20" s="4"/>
    </x:row>
    <x:row r="21" ht="22" customHeight="1">
      <x:c r="A21" s="6"/>
      <x:c r="B21" s="6"/>
      <x:c r="C21" s="6"/>
      <x:c r="D21" s="4"/>
      <x:c r="E21" s="4"/>
      <x:c r="F21" s="4"/>
      <x:c r="G21" s="4"/>
      <x:c r="H21" s="378"/>
      <x:c r="I21" s="378"/>
      <x:c r="J21" s="378"/>
      <x:c r="K21" s="378"/>
      <x:c r="L21" s="378"/>
      <x:c r="M21" s="378"/>
      <x:c r="N21" s="378"/>
      <x:c r="O21" s="378"/>
      <x:c r="P21" s="378"/>
      <x:c r="Q21" s="4"/>
    </x:row>
    <x:row r="22" ht="22" customHeight="1">
      <x:c r="A22" s="24" t="str">
        <x:v>Data Dictionary</x:v>
      </x:c>
      <x:c r="B22" s="24"/>
      <x:c r="C22" s="24"/>
      <x:c r="D22" s="4"/>
      <x:c r="E22" s="4"/>
      <x:c r="F22" s="4"/>
      <x:c r="G22" s="4"/>
      <x:c r="H22" s="378"/>
      <x:c r="I22" s="378"/>
      <x:c r="J22" s="378"/>
      <x:c r="K22" s="378"/>
      <x:c r="L22" s="378"/>
      <x:c r="M22" s="378"/>
      <x:c r="N22" s="378"/>
      <x:c r="O22" s="378"/>
      <x:c r="P22" s="378"/>
      <x:c r="Q22" s="4"/>
    </x:row>
    <x:row r="23" ht="22" customHeight="1">
      <x:c r="A23" s="24"/>
      <x:c r="B23" s="24"/>
      <x:c r="C23" s="24"/>
      <x:c r="D23" s="4"/>
      <x:c r="E23" s="4"/>
      <x:c r="F23" s="4"/>
      <x:c r="G23" s="4"/>
      <x:c r="H23" s="378"/>
      <x:c r="I23" s="378"/>
      <x:c r="J23" s="378"/>
      <x:c r="K23" s="378"/>
      <x:c r="L23" s="378"/>
      <x:c r="M23" s="378"/>
      <x:c r="N23" s="378"/>
      <x:c r="O23" s="378"/>
      <x:c r="P23" s="378"/>
      <x:c r="Q23" s="4"/>
    </x:row>
    <x:row r="24" ht="22" customHeight="1">
      <x:c r="A24" s="6"/>
      <x:c r="B24" s="6"/>
      <x:c r="C24" s="6"/>
      <x:c r="D24" s="4"/>
      <x:c r="E24" s="4"/>
      <x:c r="F24" s="4"/>
      <x:c r="G24" s="4"/>
      <x:c r="H24" s="378"/>
      <x:c r="I24" s="378"/>
      <x:c r="J24" s="378"/>
      <x:c r="K24" s="378"/>
      <x:c r="L24" s="378"/>
      <x:c r="M24" s="378"/>
      <x:c r="N24" s="378"/>
      <x:c r="O24" s="378"/>
      <x:c r="P24" s="378"/>
      <x:c r="Q24" s="4"/>
    </x:row>
    <x:row r="25" ht="22" customHeight="1">
      <x:c r="A25" s="24" t="str">
        <x:v>Settings</x:v>
      </x:c>
      <x:c r="B25" s="24"/>
      <x:c r="C25" s="2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2" customHeight="1">
      <x:c r="A26" s="24"/>
      <x:c r="B26" s="24"/>
      <x:c r="C26" s="2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</x:row>
    <x:row r="27" ht="22" customHeight="1">
      <x:c r="A27" s="6"/>
      <x:c r="B27" s="6"/>
      <x:c r="C27" s="6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2" customHeight="1">
      <x:c r="A28" s="6"/>
      <x:c r="B28" s="6"/>
      <x:c r="C28" s="6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2" customHeight="1">
      <x:c r="A29" s="6"/>
      <x:c r="B29" s="6"/>
      <x:c r="C29" s="6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2" customHeight="1">
      <x:c r="A30" s="6"/>
      <x:c r="B30" s="6"/>
      <x:c r="C30" s="6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22" customHeight="1">
      <x:c r="A31" s="6"/>
      <x:c r="B31" s="6"/>
      <x:c r="C31" s="6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2" customHeight="1">
      <x:c r="A32" s="6"/>
      <x:c r="B32" s="6"/>
      <x:c r="C32" s="6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2" customHeight="1">
      <x:c r="A33" s="6"/>
      <x:c r="B33" s="6"/>
      <x:c r="C33" s="6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2" customHeight="1">
      <x:c r="A34" s="6"/>
      <x:c r="B34" s="6"/>
      <x:c r="C34" s="6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2" customHeight="1">
      <x:c r="A35" s="6"/>
      <x:c r="B35" s="6"/>
      <x:c r="C35" s="6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2" customHeight="1">
      <x:c r="A36" s="6"/>
      <x:c r="B36" s="6"/>
      <x:c r="C36" s="6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2" customHeight="1">
      <x:c r="A37" s="6"/>
      <x:c r="B37" s="6"/>
      <x:c r="C37" s="6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2" customHeight="1">
      <x:c r="A38" s="6"/>
      <x:c r="B38" s="6"/>
      <x:c r="C38" s="6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2" customHeight="1">
      <x:c r="A39" s="32" t="str">
        <x:v>Last Updated
07-Aug-2026
10:51 AM</x:v>
      </x:c>
      <x:c r="B39" s="32"/>
      <x:c r="C39" s="32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2" customHeight="1">
      <x:c r="A40" s="32"/>
      <x:c r="B40" s="32"/>
      <x:c r="C40" s="32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2" customHeight="1">
      <x:c r="A41" s="32"/>
      <x:c r="B41" s="32"/>
      <x:c r="C41" s="32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2" customHeight="1">
      <x:c r="A42" s="32"/>
      <x:c r="B42" s="32"/>
      <x:c r="C42" s="32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2" customHeight="1">
      <x:c r="A43" s="32"/>
      <x:c r="B43" s="32"/>
      <x:c r="C43" s="32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2" customHeight="1">
      <x:c r="A44" s="6"/>
      <x:c r="B44" s="6"/>
      <x:c r="C44" s="6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2" customHeight="1">
      <x:c r="A45" s="6"/>
      <x:c r="B45" s="6"/>
      <x:c r="C45" s="6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39:C43"/>
    <x:mergeCell ref="E2:P3"/>
    <x:mergeCell ref="H5:P16"/>
    <x:mergeCell ref="H18:P2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24" hidden="0" customWidth="1"/>
    <x:col min="6" max="6" width="24" hidden="0" customWidth="1"/>
    <x:col min="7" max="7" width="42" hidden="0" customWidth="1"/>
    <x:col min="8" max="8" width="24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6"/>
      <x:c r="B1" s="6"/>
      <x:c r="C1" s="6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10" t="str">
        <x:v>SalesIQ</x:v>
      </x:c>
      <x:c r="B2" s="10"/>
      <x:c r="C2" s="10"/>
      <x:c r="D2" s="4"/>
      <x:c r="E2" s="145" t="str">
        <x:v>Data Dictionary</x:v>
      </x:c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  <x:c r="Q2" s="4"/>
    </x:row>
    <x:row r="3" ht="22" customHeight="1">
      <x:c r="A3" s="10"/>
      <x:c r="B3" s="10"/>
      <x:c r="C3" s="10"/>
      <x:c r="D3" s="4"/>
      <x:c r="E3" s="145"/>
      <x:c r="F3" s="145"/>
      <x:c r="G3" s="145"/>
      <x:c r="H3" s="145"/>
      <x:c r="I3" s="145"/>
      <x:c r="J3" s="145"/>
      <x:c r="K3" s="145"/>
      <x:c r="L3" s="145"/>
      <x:c r="M3" s="145"/>
      <x:c r="N3" s="145"/>
      <x:c r="O3" s="145"/>
      <x:c r="P3" s="145"/>
      <x:c r="Q3" s="4"/>
    </x:row>
    <x:row r="4" ht="22" customHeight="1">
      <x:c r="A4" s="10"/>
      <x:c r="B4" s="10"/>
      <x:c r="C4" s="10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22" customHeight="1">
      <x:c r="A5" s="10"/>
      <x:c r="B5" s="10"/>
      <x:c r="C5" s="10"/>
      <x:c r="D5" s="4"/>
      <x:c r="E5" s="232" t="str">
        <x:v>Field</x:v>
      </x:c>
      <x:c r="F5" s="232" t="str">
        <x:v>Type</x:v>
      </x:c>
      <x:c r="G5" s="232" t="str">
        <x:v>Meaning</x:v>
      </x:c>
      <x:c r="H5" s="232" t="str">
        <x:v>Example</x:v>
      </x:c>
      <x:c r="I5" s="4"/>
      <x:c r="J5" s="4"/>
      <x:c r="K5" s="4"/>
      <x:c r="L5" s="4"/>
      <x:c r="M5" s="4"/>
      <x:c r="N5" s="4"/>
      <x:c r="O5" s="4"/>
      <x:c r="P5" s="4"/>
      <x:c r="Q5" s="4"/>
    </x:row>
    <x:row r="6" ht="22" customHeight="1">
      <x:c r="A6" s="6"/>
      <x:c r="B6" s="6"/>
      <x:c r="C6" s="6"/>
      <x:c r="D6" s="4"/>
      <x:c r="E6" s="233" t="str">
        <x:v>Order ID</x:v>
      </x:c>
      <x:c r="F6" s="233" t="str">
        <x:v>Text/Date</x:v>
      </x:c>
      <x:c r="G6" s="233" t="str">
        <x:v>Business field used in SalesIQ analysis: Order ID.</x:v>
      </x:c>
      <x:c r="H6" s="233" t="str">
        <x:v>ORD-10001</x:v>
      </x:c>
      <x:c r="I6" s="4"/>
      <x:c r="J6" s="4"/>
      <x:c r="K6" s="4"/>
      <x:c r="L6" s="4"/>
      <x:c r="M6" s="4"/>
      <x:c r="N6" s="4"/>
      <x:c r="O6" s="4"/>
      <x:c r="P6" s="4"/>
      <x:c r="Q6" s="4"/>
    </x:row>
    <x:row r="7" ht="22" customHeight="1">
      <x:c r="A7" s="24" t="str">
        <x:v>Home</x:v>
      </x:c>
      <x:c r="B7" s="24"/>
      <x:c r="C7" s="24"/>
      <x:c r="D7" s="4"/>
      <x:c r="E7" s="233" t="str">
        <x:v>Date</x:v>
      </x:c>
      <x:c r="F7" s="233" t="str">
        <x:v>Text/Date</x:v>
      </x:c>
      <x:c r="G7" s="233" t="str">
        <x:v>Business field used in SalesIQ analysis: Date.</x:v>
      </x:c>
      <x:c r="H7" s="233" t="str">
        <x:v>2025-09-17 00:00:00</x:v>
      </x:c>
      <x:c r="I7" s="4"/>
      <x:c r="J7" s="4"/>
      <x:c r="K7" s="4"/>
      <x:c r="L7" s="4"/>
      <x:c r="M7" s="4"/>
      <x:c r="N7" s="4"/>
      <x:c r="O7" s="4"/>
      <x:c r="P7" s="4"/>
      <x:c r="Q7" s="4"/>
    </x:row>
    <x:row r="8" ht="22" customHeight="1">
      <x:c r="A8" s="24"/>
      <x:c r="B8" s="24"/>
      <x:c r="C8" s="24"/>
      <x:c r="D8" s="4"/>
      <x:c r="E8" s="233" t="str">
        <x:v>Month</x:v>
      </x:c>
      <x:c r="F8" s="233" t="str">
        <x:v>Text/Date</x:v>
      </x:c>
      <x:c r="G8" s="233" t="str">
        <x:v>Business field used in SalesIQ analysis: Month.</x:v>
      </x:c>
      <x:c r="H8" s="233" t="str">
        <x:v>Sep</x:v>
      </x:c>
      <x:c r="I8" s="4"/>
      <x:c r="J8" s="4"/>
      <x:c r="K8" s="4"/>
      <x:c r="L8" s="4"/>
      <x:c r="M8" s="4"/>
      <x:c r="N8" s="4"/>
      <x:c r="O8" s="4"/>
      <x:c r="P8" s="4"/>
      <x:c r="Q8" s="4"/>
    </x:row>
    <x:row r="9" ht="22" customHeight="1">
      <x:c r="A9" s="6"/>
      <x:c r="B9" s="6"/>
      <x:c r="C9" s="6"/>
      <x:c r="D9" s="4"/>
      <x:c r="E9" s="233" t="str">
        <x:v>Quarter</x:v>
      </x:c>
      <x:c r="F9" s="233" t="str">
        <x:v>Text/Date</x:v>
      </x:c>
      <x:c r="G9" s="233" t="str">
        <x:v>Business field used in SalesIQ analysis: Quarter.</x:v>
      </x:c>
      <x:c r="H9" s="233" t="str">
        <x:v>Q3</x:v>
      </x:c>
      <x:c r="I9" s="4"/>
      <x:c r="J9" s="4"/>
      <x:c r="K9" s="4"/>
      <x:c r="L9" s="4"/>
      <x:c r="M9" s="4"/>
      <x:c r="N9" s="4"/>
      <x:c r="O9" s="4"/>
      <x:c r="P9" s="4"/>
      <x:c r="Q9" s="4"/>
    </x:row>
    <x:row r="10" ht="22" customHeight="1">
      <x:c r="A10" s="24" t="str">
        <x:v>Dashboard</x:v>
      </x:c>
      <x:c r="B10" s="24"/>
      <x:c r="C10" s="24"/>
      <x:c r="D10" s="4"/>
      <x:c r="E10" s="233" t="str">
        <x:v>Region</x:v>
      </x:c>
      <x:c r="F10" s="233" t="str">
        <x:v>Text/Date</x:v>
      </x:c>
      <x:c r="G10" s="233" t="str">
        <x:v>Business field used in SalesIQ analysis: Region.</x:v>
      </x:c>
      <x:c r="H10" s="233" t="str">
        <x:v>South</x:v>
      </x:c>
      <x:c r="I10" s="4"/>
      <x:c r="J10" s="4"/>
      <x:c r="K10" s="4"/>
      <x:c r="L10" s="4"/>
      <x:c r="M10" s="4"/>
      <x:c r="N10" s="4"/>
      <x:c r="O10" s="4"/>
      <x:c r="P10" s="4"/>
      <x:c r="Q10" s="4"/>
    </x:row>
    <x:row r="11" ht="22" customHeight="1">
      <x:c r="A11" s="24"/>
      <x:c r="B11" s="24"/>
      <x:c r="C11" s="24"/>
      <x:c r="D11" s="4"/>
      <x:c r="E11" s="233" t="str">
        <x:v>City</x:v>
      </x:c>
      <x:c r="F11" s="233" t="str">
        <x:v>Text/Date</x:v>
      </x:c>
      <x:c r="G11" s="233" t="str">
        <x:v>Business field used in SalesIQ analysis: City.</x:v>
      </x:c>
      <x:c r="H11" s="233" t="str">
        <x:v>Chennai</x:v>
      </x:c>
      <x:c r="I11" s="4"/>
      <x:c r="J11" s="4"/>
      <x:c r="K11" s="4"/>
      <x:c r="L11" s="4"/>
      <x:c r="M11" s="4"/>
      <x:c r="N11" s="4"/>
      <x:c r="O11" s="4"/>
      <x:c r="P11" s="4"/>
      <x:c r="Q11" s="4"/>
    </x:row>
    <x:row r="12" ht="22" customHeight="1">
      <x:c r="A12" s="6"/>
      <x:c r="B12" s="6"/>
      <x:c r="C12" s="6"/>
      <x:c r="D12" s="4"/>
      <x:c r="E12" s="233" t="str">
        <x:v>Sales Executive</x:v>
      </x:c>
      <x:c r="F12" s="233" t="str">
        <x:v>Text/Date</x:v>
      </x:c>
      <x:c r="G12" s="233" t="str">
        <x:v>Business field used in SalesIQ analysis: Sales Executive.</x:v>
      </x:c>
      <x:c r="H12" s="233" t="str">
        <x:v>Ananya Iyer</x:v>
      </x:c>
      <x:c r="I12" s="4"/>
      <x:c r="J12" s="4"/>
      <x:c r="K12" s="4"/>
      <x:c r="L12" s="4"/>
      <x:c r="M12" s="4"/>
      <x:c r="N12" s="4"/>
      <x:c r="O12" s="4"/>
      <x:c r="P12" s="4"/>
      <x:c r="Q12" s="4"/>
    </x:row>
    <x:row r="13" ht="22" customHeight="1">
      <x:c r="A13" s="24" t="str">
        <x:v>KPI Center</x:v>
      </x:c>
      <x:c r="B13" s="24"/>
      <x:c r="C13" s="24"/>
      <x:c r="D13" s="4"/>
      <x:c r="E13" s="233" t="str">
        <x:v>Product Category</x:v>
      </x:c>
      <x:c r="F13" s="233" t="str">
        <x:v>Text/Date</x:v>
      </x:c>
      <x:c r="G13" s="233" t="str">
        <x:v>Business field used in SalesIQ analysis: Product Category.</x:v>
      </x:c>
      <x:c r="H13" s="233" t="str">
        <x:v>Accessories</x:v>
      </x:c>
      <x:c r="I13" s="4"/>
      <x:c r="J13" s="4"/>
      <x:c r="K13" s="4"/>
      <x:c r="L13" s="4"/>
      <x:c r="M13" s="4"/>
      <x:c r="N13" s="4"/>
      <x:c r="O13" s="4"/>
      <x:c r="P13" s="4"/>
      <x:c r="Q13" s="4"/>
    </x:row>
    <x:row r="14" ht="22" customHeight="1">
      <x:c r="A14" s="24"/>
      <x:c r="B14" s="24"/>
      <x:c r="C14" s="24"/>
      <x:c r="D14" s="4"/>
      <x:c r="E14" s="233" t="str">
        <x:v>Product Name</x:v>
      </x:c>
      <x:c r="F14" s="233" t="str">
        <x:v>Text/Date</x:v>
      </x:c>
      <x:c r="G14" s="233" t="str">
        <x:v>Business field used in SalesIQ analysis: Product Name.</x:v>
      </x:c>
      <x:c r="H14" s="233" t="str">
        <x:v>Wireless Mouse</x:v>
      </x:c>
      <x:c r="I14" s="4"/>
      <x:c r="J14" s="4"/>
      <x:c r="K14" s="4"/>
      <x:c r="L14" s="4"/>
      <x:c r="M14" s="4"/>
      <x:c r="N14" s="4"/>
      <x:c r="O14" s="4"/>
      <x:c r="P14" s="4"/>
      <x:c r="Q14" s="4"/>
    </x:row>
    <x:row r="15" ht="22" customHeight="1">
      <x:c r="A15" s="6"/>
      <x:c r="B15" s="6"/>
      <x:c r="C15" s="6"/>
      <x:c r="D15" s="4"/>
      <x:c r="E15" s="233" t="str">
        <x:v>Units Sold</x:v>
      </x:c>
      <x:c r="F15" s="233" t="str">
        <x:v>Number</x:v>
      </x:c>
      <x:c r="G15" s="233" t="str">
        <x:v>Business field used in SalesIQ analysis: Units Sold.</x:v>
      </x:c>
      <x:c r="H15" s="233" t="str">
        <x:v>6</x:v>
      </x:c>
      <x:c r="I15" s="4"/>
      <x:c r="J15" s="4"/>
      <x:c r="K15" s="4"/>
      <x:c r="L15" s="4"/>
      <x:c r="M15" s="4"/>
      <x:c r="N15" s="4"/>
      <x:c r="O15" s="4"/>
      <x:c r="P15" s="4"/>
      <x:c r="Q15" s="4"/>
    </x:row>
    <x:row r="16" ht="22" customHeight="1">
      <x:c r="A16" s="24" t="str">
        <x:v>Forecast</x:v>
      </x:c>
      <x:c r="B16" s="24"/>
      <x:c r="C16" s="24"/>
      <x:c r="D16" s="4"/>
      <x:c r="E16" s="233" t="str">
        <x:v>Selling Price</x:v>
      </x:c>
      <x:c r="F16" s="233" t="str">
        <x:v>Number</x:v>
      </x:c>
      <x:c r="G16" s="233" t="str">
        <x:v>Business field used in SalesIQ analysis: Selling Price.</x:v>
      </x:c>
      <x:c r="H16" s="233" t="str">
        <x:v>2110</x:v>
      </x:c>
      <x:c r="I16" s="4"/>
      <x:c r="J16" s="4"/>
      <x:c r="K16" s="4"/>
      <x:c r="L16" s="4"/>
      <x:c r="M16" s="4"/>
      <x:c r="N16" s="4"/>
      <x:c r="O16" s="4"/>
      <x:c r="P16" s="4"/>
      <x:c r="Q16" s="4"/>
    </x:row>
    <x:row r="17" ht="22" customHeight="1">
      <x:c r="A17" s="24"/>
      <x:c r="B17" s="24"/>
      <x:c r="C17" s="24"/>
      <x:c r="D17" s="4"/>
      <x:c r="E17" s="233" t="str">
        <x:v>Revenue</x:v>
      </x:c>
      <x:c r="F17" s="233" t="str">
        <x:v>Number</x:v>
      </x:c>
      <x:c r="G17" s="233" t="str">
        <x:v>Business field used in SalesIQ analysis: Revenue.</x:v>
      </x:c>
      <x:c r="H17" s="233" t="str">
        <x:v>12660</x:v>
      </x:c>
      <x:c r="I17" s="4"/>
      <x:c r="J17" s="4"/>
      <x:c r="K17" s="4"/>
      <x:c r="L17" s="4"/>
      <x:c r="M17" s="4"/>
      <x:c r="N17" s="4"/>
      <x:c r="O17" s="4"/>
      <x:c r="P17" s="4"/>
      <x:c r="Q17" s="4"/>
    </x:row>
    <x:row r="18" ht="22" customHeight="1">
      <x:c r="A18" s="6"/>
      <x:c r="B18" s="6"/>
      <x:c r="C18" s="6"/>
      <x:c r="D18" s="4"/>
      <x:c r="E18" s="233" t="str">
        <x:v>Cost</x:v>
      </x:c>
      <x:c r="F18" s="233" t="str">
        <x:v>Number</x:v>
      </x:c>
      <x:c r="G18" s="233" t="str">
        <x:v>Business field used in SalesIQ analysis: Cost.</x:v>
      </x:c>
      <x:c r="H18" s="233" t="str">
        <x:v>5580</x:v>
      </x:c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2" customHeight="1">
      <x:c r="A19" s="24" t="str">
        <x:v>Reports</x:v>
      </x:c>
      <x:c r="B19" s="24"/>
      <x:c r="C19" s="24"/>
      <x:c r="D19" s="4"/>
      <x:c r="E19" s="233" t="str">
        <x:v>Profit</x:v>
      </x:c>
      <x:c r="F19" s="233" t="str">
        <x:v>Number</x:v>
      </x:c>
      <x:c r="G19" s="233" t="str">
        <x:v>Business field used in SalesIQ analysis: Profit.</x:v>
      </x:c>
      <x:c r="H19" s="233" t="str">
        <x:v>7080</x:v>
      </x:c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2" customHeight="1">
      <x:c r="A20" s="24"/>
      <x:c r="B20" s="24"/>
      <x:c r="C20" s="24"/>
      <x:c r="D20" s="4"/>
      <x:c r="E20" s="233" t="str">
        <x:v>Profit Margin %</x:v>
      </x:c>
      <x:c r="F20" s="233" t="str">
        <x:v>Text/Date</x:v>
      </x:c>
      <x:c r="G20" s="233" t="str">
        <x:v>Business field used in SalesIQ analysis: Profit Margin %.</x:v>
      </x:c>
      <x:c r="H20" s="233" t="str">
        <x:v>0.5592417061611374</x:v>
      </x:c>
      <x:c r="I20" s="4"/>
      <x:c r="J20" s="4"/>
      <x:c r="K20" s="4"/>
      <x:c r="L20" s="4"/>
      <x:c r="M20" s="4"/>
      <x:c r="N20" s="4"/>
      <x:c r="O20" s="4"/>
      <x:c r="P20" s="4"/>
      <x:c r="Q20" s="4"/>
    </x:row>
    <x:row r="21" ht="22" customHeight="1">
      <x:c r="A21" s="6"/>
      <x:c r="B21" s="6"/>
      <x:c r="C21" s="6"/>
      <x:c r="D21" s="4"/>
      <x:c r="E21" s="233" t="str">
        <x:v>Customer Type</x:v>
      </x:c>
      <x:c r="F21" s="233" t="str">
        <x:v>Text/Date</x:v>
      </x:c>
      <x:c r="G21" s="233" t="str">
        <x:v>Business field used in SalesIQ analysis: Customer Type.</x:v>
      </x:c>
      <x:c r="H21" s="233" t="str">
        <x:v>Existing</x:v>
      </x:c>
      <x:c r="I21" s="4"/>
      <x:c r="J21" s="4"/>
      <x:c r="K21" s="4"/>
      <x:c r="L21" s="4"/>
      <x:c r="M21" s="4"/>
      <x:c r="N21" s="4"/>
      <x:c r="O21" s="4"/>
      <x:c r="P21" s="4"/>
      <x:c r="Q21" s="4"/>
    </x:row>
    <x:row r="22" ht="22" customHeight="1">
      <x:c r="A22" s="17" t="str">
        <x:v>Data Dictionary</x:v>
      </x:c>
      <x:c r="B22" s="17"/>
      <x:c r="C22" s="17"/>
      <x:c r="D22" s="4"/>
      <x:c r="E22" s="233" t="str">
        <x:v>Sales Channel</x:v>
      </x:c>
      <x:c r="F22" s="233" t="str">
        <x:v>Text/Date</x:v>
      </x:c>
      <x:c r="G22" s="233" t="str">
        <x:v>Business field used in SalesIQ analysis: Sales Channel.</x:v>
      </x:c>
      <x:c r="H22" s="233" t="str">
        <x:v>Offline</x:v>
      </x:c>
      <x:c r="I22" s="4"/>
      <x:c r="J22" s="4"/>
      <x:c r="K22" s="4"/>
      <x:c r="L22" s="4"/>
      <x:c r="M22" s="4"/>
      <x:c r="N22" s="4"/>
      <x:c r="O22" s="4"/>
      <x:c r="P22" s="4"/>
      <x:c r="Q22" s="4"/>
    </x:row>
    <x:row r="23" ht="22" customHeight="1">
      <x:c r="A23" s="17"/>
      <x:c r="B23" s="17"/>
      <x:c r="C23" s="17"/>
      <x:c r="D23" s="4"/>
      <x:c r="E23" s="233" t="str">
        <x:v>Target Sales</x:v>
      </x:c>
      <x:c r="F23" s="233" t="str">
        <x:v>Number</x:v>
      </x:c>
      <x:c r="G23" s="233" t="str">
        <x:v>Business field used in SalesIQ analysis: Target Sales.</x:v>
      </x:c>
      <x:c r="H23" s="233" t="str">
        <x:v>14100</x:v>
      </x:c>
      <x:c r="I23" s="4"/>
      <x:c r="J23" s="4"/>
      <x:c r="K23" s="4"/>
      <x:c r="L23" s="4"/>
      <x:c r="M23" s="4"/>
      <x:c r="N23" s="4"/>
      <x:c r="O23" s="4"/>
      <x:c r="P23" s="4"/>
      <x:c r="Q23" s="4"/>
    </x:row>
    <x:row r="24" ht="22" customHeight="1">
      <x:c r="A24" s="6"/>
      <x:c r="B24" s="6"/>
      <x:c r="C24" s="6"/>
      <x:c r="D24" s="4"/>
      <x:c r="E24" s="233" t="str">
        <x:v>Achievement %</x:v>
      </x:c>
      <x:c r="F24" s="233" t="str">
        <x:v>Text/Date</x:v>
      </x:c>
      <x:c r="G24" s="233" t="str">
        <x:v>Business field used in SalesIQ analysis: Achievement %.</x:v>
      </x:c>
      <x:c r="H24" s="233" t="str">
        <x:v>0.8978723404255319</x:v>
      </x:c>
      <x:c r="I24" s="4"/>
      <x:c r="J24" s="4"/>
      <x:c r="K24" s="4"/>
      <x:c r="L24" s="4"/>
      <x:c r="M24" s="4"/>
      <x:c r="N24" s="4"/>
      <x:c r="O24" s="4"/>
      <x:c r="P24" s="4"/>
      <x:c r="Q24" s="4"/>
    </x:row>
    <x:row r="25" ht="22" customHeight="1">
      <x:c r="A25" s="24" t="str">
        <x:v>Settings</x:v>
      </x:c>
      <x:c r="B25" s="24"/>
      <x:c r="C25" s="24"/>
      <x:c r="D25" s="4"/>
      <x:c r="E25" s="233" t="str">
        <x:v>Growth %</x:v>
      </x:c>
      <x:c r="F25" s="233" t="str">
        <x:v>Text/Date</x:v>
      </x:c>
      <x:c r="G25" s="233" t="str">
        <x:v>Business field used in SalesIQ analysis: Growth %.</x:v>
      </x:c>
      <x:c r="H25" s="233" t="str">
        <x:v>0.08970616847575623</x:v>
      </x:c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2" customHeight="1">
      <x:c r="A26" s="24"/>
      <x:c r="B26" s="24"/>
      <x:c r="C26" s="24"/>
      <x:c r="D26" s="4"/>
      <x:c r="E26" s="233" t="str">
        <x:v>Order Status</x:v>
      </x:c>
      <x:c r="F26" s="233" t="str">
        <x:v>Text/Date</x:v>
      </x:c>
      <x:c r="G26" s="233" t="str">
        <x:v>Business field used in SalesIQ analysis: Order Status.</x:v>
      </x:c>
      <x:c r="H26" s="233" t="str">
        <x:v>Completed</x:v>
      </x:c>
      <x:c r="I26" s="4"/>
      <x:c r="J26" s="4"/>
      <x:c r="K26" s="4"/>
      <x:c r="L26" s="4"/>
      <x:c r="M26" s="4"/>
      <x:c r="N26" s="4"/>
      <x:c r="O26" s="4"/>
      <x:c r="P26" s="4"/>
      <x:c r="Q26" s="4"/>
    </x:row>
    <x:row r="27" ht="22" customHeight="1">
      <x:c r="A27" s="6"/>
      <x:c r="B27" s="6"/>
      <x:c r="C27" s="6"/>
      <x:c r="D27" s="4"/>
      <x:c r="E27" s="233" t="str">
        <x:v>Discount %</x:v>
      </x:c>
      <x:c r="F27" s="233" t="str">
        <x:v>Text/Date</x:v>
      </x:c>
      <x:c r="G27" s="233" t="str">
        <x:v>Business field used in SalesIQ analysis: Discount %.</x:v>
      </x:c>
      <x:c r="H27" s="233" t="str">
        <x:v>0</x:v>
      </x:c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2" customHeight="1">
      <x:c r="A28" s="6"/>
      <x:c r="B28" s="6"/>
      <x:c r="C28" s="6"/>
      <x:c r="D28" s="4"/>
      <x:c r="E28" s="233" t="str">
        <x:v>Rating</x:v>
      </x:c>
      <x:c r="F28" s="233" t="str">
        <x:v>Number</x:v>
      </x:c>
      <x:c r="G28" s="233" t="str">
        <x:v>Business field used in SalesIQ analysis: Rating.</x:v>
      </x:c>
      <x:c r="H28" s="233" t="str">
        <x:v>3.8</x:v>
      </x:c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2" customHeight="1">
      <x:c r="A29" s="6"/>
      <x:c r="B29" s="6"/>
      <x:c r="C29" s="6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2" customHeight="1">
      <x:c r="A30" s="6"/>
      <x:c r="B30" s="6"/>
      <x:c r="C30" s="6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22" customHeight="1">
      <x:c r="A31" s="6"/>
      <x:c r="B31" s="6"/>
      <x:c r="C31" s="6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2" customHeight="1">
      <x:c r="A32" s="6"/>
      <x:c r="B32" s="6"/>
      <x:c r="C32" s="6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2" customHeight="1">
      <x:c r="A33" s="6"/>
      <x:c r="B33" s="6"/>
      <x:c r="C33" s="6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2" customHeight="1">
      <x:c r="A34" s="6"/>
      <x:c r="B34" s="6"/>
      <x:c r="C34" s="6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2" customHeight="1">
      <x:c r="A35" s="6"/>
      <x:c r="B35" s="6"/>
      <x:c r="C35" s="6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2" customHeight="1">
      <x:c r="A36" s="6"/>
      <x:c r="B36" s="6"/>
      <x:c r="C36" s="6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2" customHeight="1">
      <x:c r="A37" s="6"/>
      <x:c r="B37" s="6"/>
      <x:c r="C37" s="6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2" customHeight="1">
      <x:c r="A38" s="6"/>
      <x:c r="B38" s="6"/>
      <x:c r="C38" s="6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2" customHeight="1">
      <x:c r="A39" s="32" t="str">
        <x:v>Last Updated
07-Aug-2026
10:51 AM</x:v>
      </x:c>
      <x:c r="B39" s="32"/>
      <x:c r="C39" s="32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2" customHeight="1">
      <x:c r="A40" s="32"/>
      <x:c r="B40" s="32"/>
      <x:c r="C40" s="32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2" customHeight="1">
      <x:c r="A41" s="32"/>
      <x:c r="B41" s="32"/>
      <x:c r="C41" s="32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2" customHeight="1">
      <x:c r="A42" s="32"/>
      <x:c r="B42" s="32"/>
      <x:c r="C42" s="32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2" customHeight="1">
      <x:c r="A43" s="32"/>
      <x:c r="B43" s="32"/>
      <x:c r="C43" s="32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2" customHeight="1">
      <x:c r="A44" s="6"/>
      <x:c r="B44" s="6"/>
      <x:c r="C44" s="6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2" customHeight="1">
      <x:c r="A45" s="6"/>
      <x:c r="B45" s="6"/>
      <x:c r="C45" s="6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39:C43"/>
    <x:mergeCell ref="E2:P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6"/>
      <x:c r="B1" s="6"/>
      <x:c r="C1" s="6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10" t="str">
        <x:v>SalesIQ</x:v>
      </x:c>
      <x:c r="B2" s="10"/>
      <x:c r="C2" s="10"/>
      <x:c r="D2" s="4"/>
      <x:c r="E2" s="145" t="str">
        <x:v>Settings</x:v>
      </x:c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  <x:c r="Q2" s="4"/>
    </x:row>
    <x:row r="3" ht="22" customHeight="1">
      <x:c r="A3" s="10"/>
      <x:c r="B3" s="10"/>
      <x:c r="C3" s="10"/>
      <x:c r="D3" s="4"/>
      <x:c r="E3" s="145"/>
      <x:c r="F3" s="145"/>
      <x:c r="G3" s="145"/>
      <x:c r="H3" s="145"/>
      <x:c r="I3" s="145"/>
      <x:c r="J3" s="145"/>
      <x:c r="K3" s="145"/>
      <x:c r="L3" s="145"/>
      <x:c r="M3" s="145"/>
      <x:c r="N3" s="145"/>
      <x:c r="O3" s="145"/>
      <x:c r="P3" s="145"/>
      <x:c r="Q3" s="4"/>
    </x:row>
    <x:row r="4" ht="22" customHeight="1">
      <x:c r="A4" s="10"/>
      <x:c r="B4" s="10"/>
      <x:c r="C4" s="10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22" customHeight="1">
      <x:c r="A5" s="10"/>
      <x:c r="B5" s="10"/>
      <x:c r="C5" s="10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</x:row>
    <x:row r="6" ht="22" customHeight="1">
      <x:c r="A6" s="6"/>
      <x:c r="B6" s="6"/>
      <x:c r="C6" s="6"/>
      <x:c r="D6" s="4"/>
      <x:c r="E6" s="177" t="str">
        <x:v>Setting</x:v>
      </x:c>
      <x:c r="F6" s="177" t="str">
        <x:v>Current Value</x:v>
      </x:c>
      <x:c r="G6" s="177" t="str">
        <x:v>Description</x:v>
      </x:c>
      <x:c r="H6" s="177" t="str">
        <x:v>Status</x:v>
      </x:c>
      <x:c r="I6" s="4"/>
      <x:c r="J6" s="4"/>
      <x:c r="K6" s="4"/>
      <x:c r="L6" s="4"/>
      <x:c r="M6" s="4"/>
      <x:c r="N6" s="4"/>
      <x:c r="O6" s="4"/>
      <x:c r="P6" s="4"/>
      <x:c r="Q6" s="4"/>
    </x:row>
    <x:row r="7" ht="22" customHeight="1">
      <x:c r="A7" s="24" t="str">
        <x:v>Home</x:v>
      </x:c>
      <x:c r="B7" s="24"/>
      <x:c r="C7" s="24"/>
      <x:c r="D7" s="4"/>
      <x:c r="E7" s="4" t="str">
        <x:v>Theme</x:v>
      </x:c>
      <x:c r="F7" s="4" t="str">
        <x:v>Dark Premium</x:v>
      </x:c>
      <x:c r="G7" s="4" t="str">
        <x:v>Approved master UI reference</x:v>
      </x:c>
      <x:c r="H7" s="4" t="str">
        <x:v>Active</x:v>
      </x:c>
      <x:c r="I7" s="4"/>
      <x:c r="J7" s="4"/>
      <x:c r="K7" s="4"/>
      <x:c r="L7" s="4"/>
      <x:c r="M7" s="4"/>
      <x:c r="N7" s="4"/>
      <x:c r="O7" s="4"/>
      <x:c r="P7" s="4"/>
      <x:c r="Q7" s="4"/>
    </x:row>
    <x:row r="8" ht="22" customHeight="1">
      <x:c r="A8" s="24"/>
      <x:c r="B8" s="24"/>
      <x:c r="C8" s="24"/>
      <x:c r="D8" s="4"/>
      <x:c r="E8" s="4" t="str">
        <x:v>Default Currency</x:v>
      </x:c>
      <x:c r="F8" s="4" t="str">
        <x:v>INR (₹)</x:v>
      </x:c>
      <x:c r="G8" s="4" t="str">
        <x:v>Dashboard currency display</x:v>
      </x:c>
      <x:c r="H8" s="4" t="str">
        <x:v>Active</x:v>
      </x:c>
      <x:c r="I8" s="4"/>
      <x:c r="J8" s="4"/>
      <x:c r="K8" s="4"/>
      <x:c r="L8" s="4"/>
      <x:c r="M8" s="4"/>
      <x:c r="N8" s="4"/>
      <x:c r="O8" s="4"/>
      <x:c r="P8" s="4"/>
      <x:c r="Q8" s="4"/>
    </x:row>
    <x:row r="9" ht="22" customHeight="1">
      <x:c r="A9" s="6"/>
      <x:c r="B9" s="6"/>
      <x:c r="C9" s="6"/>
      <x:c r="D9" s="4"/>
      <x:c r="E9" s="4" t="str">
        <x:v>Data Source</x:v>
      </x:c>
      <x:c r="F9" s="4" t="str">
        <x:v>CSV Upload</x:v>
      </x:c>
      <x:c r="G9" s="4" t="str">
        <x:v>Selected through VBA file picker</x:v>
      </x:c>
      <x:c r="H9" s="4" t="str">
        <x:v>Ready</x:v>
      </x:c>
      <x:c r="I9" s="4"/>
      <x:c r="J9" s="4"/>
      <x:c r="K9" s="4"/>
      <x:c r="L9" s="4"/>
      <x:c r="M9" s="4"/>
      <x:c r="N9" s="4"/>
      <x:c r="O9" s="4"/>
      <x:c r="P9" s="4"/>
      <x:c r="Q9" s="4"/>
    </x:row>
    <x:row r="10" ht="22" customHeight="1">
      <x:c r="A10" s="24" t="str">
        <x:v>Dashboard</x:v>
      </x:c>
      <x:c r="B10" s="24"/>
      <x:c r="C10" s="24"/>
      <x:c r="D10" s="4"/>
      <x:c r="E10" s="4" t="str">
        <x:v>Auto Refresh</x:v>
      </x:c>
      <x:c r="F10" s="4" t="str">
        <x:v>Enabled</x:v>
      </x:c>
      <x:c r="G10" s="4" t="str">
        <x:v>Refresh after successful import</x:v>
      </x:c>
      <x:c r="H10" s="4" t="str">
        <x:v>Ready</x:v>
      </x:c>
      <x:c r="I10" s="4"/>
      <x:c r="J10" s="4"/>
      <x:c r="K10" s="4"/>
      <x:c r="L10" s="4"/>
      <x:c r="M10" s="4"/>
      <x:c r="N10" s="4"/>
      <x:c r="O10" s="4"/>
      <x:c r="P10" s="4"/>
      <x:c r="Q10" s="4"/>
    </x:row>
    <x:row r="11" ht="22" customHeight="1">
      <x:c r="A11" s="24"/>
      <x:c r="B11" s="24"/>
      <x:c r="C11" s="24"/>
      <x:c r="D11" s="4"/>
      <x:c r="E11" s="4" t="str">
        <x:v>PDF Export</x:v>
      </x:c>
      <x:c r="F11" s="4" t="str">
        <x:v>Enabled</x:v>
      </x:c>
      <x:c r="G11" s="4" t="str">
        <x:v>Exports Dashboard page</x:v>
      </x:c>
      <x:c r="H11" s="4" t="str">
        <x:v>Ready</x:v>
      </x:c>
      <x:c r="I11" s="4"/>
      <x:c r="J11" s="4"/>
      <x:c r="K11" s="4"/>
      <x:c r="L11" s="4"/>
      <x:c r="M11" s="4"/>
      <x:c r="N11" s="4"/>
      <x:c r="O11" s="4"/>
      <x:c r="P11" s="4"/>
      <x:c r="Q11" s="4"/>
    </x:row>
    <x:row r="12" ht="22" customHeight="1">
      <x:c r="A12" s="6"/>
      <x:c r="B12" s="6"/>
      <x:c r="C12" s="6"/>
      <x:c r="D12" s="4"/>
      <x:c r="E12" s="4" t="str">
        <x:v>Forecast</x:v>
      </x:c>
      <x:c r="F12" s="4" t="str">
        <x:v>Enabled</x:v>
      </x:c>
      <x:c r="G12" s="4" t="str">
        <x:v>Monthly trend-based estimate</x:v>
      </x:c>
      <x:c r="H12" s="4" t="str">
        <x:v>Ready</x:v>
      </x:c>
      <x:c r="I12" s="4"/>
      <x:c r="J12" s="4"/>
      <x:c r="K12" s="4"/>
      <x:c r="L12" s="4"/>
      <x:c r="M12" s="4"/>
      <x:c r="N12" s="4"/>
      <x:c r="O12" s="4"/>
      <x:c r="P12" s="4"/>
      <x:c r="Q12" s="4"/>
    </x:row>
    <x:row r="13" ht="22" customHeight="1">
      <x:c r="A13" s="24" t="str">
        <x:v>KPI Center</x:v>
      </x:c>
      <x:c r="B13" s="24"/>
      <x:c r="C13" s="2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</x:row>
    <x:row r="14" ht="22" customHeight="1">
      <x:c r="A14" s="24"/>
      <x:c r="B14" s="24"/>
      <x:c r="C14" s="2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</x:row>
    <x:row r="15" ht="22" customHeight="1">
      <x:c r="A15" s="6"/>
      <x:c r="B15" s="6"/>
      <x:c r="C15" s="6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</x:row>
    <x:row r="16" ht="22" customHeight="1">
      <x:c r="A16" s="24" t="str">
        <x:v>Forecast</x:v>
      </x:c>
      <x:c r="B16" s="24"/>
      <x:c r="C16" s="2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</x:row>
    <x:row r="17" ht="22" customHeight="1">
      <x:c r="A17" s="24"/>
      <x:c r="B17" s="24"/>
      <x:c r="C17" s="2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</x:row>
    <x:row r="18" ht="22" customHeight="1">
      <x:c r="A18" s="6"/>
      <x:c r="B18" s="6"/>
      <x:c r="C18" s="6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2" customHeight="1">
      <x:c r="A19" s="24" t="str">
        <x:v>Reports</x:v>
      </x:c>
      <x:c r="B19" s="24"/>
      <x:c r="C19" s="2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2" customHeight="1">
      <x:c r="A20" s="24"/>
      <x:c r="B20" s="24"/>
      <x:c r="C20" s="2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</x:row>
    <x:row r="21" ht="22" customHeight="1">
      <x:c r="A21" s="6"/>
      <x:c r="B21" s="6"/>
      <x:c r="C21" s="6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</x:row>
    <x:row r="22" ht="22" customHeight="1">
      <x:c r="A22" s="24" t="str">
        <x:v>Data Dictionary</x:v>
      </x:c>
      <x:c r="B22" s="24"/>
      <x:c r="C22" s="2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</x:row>
    <x:row r="23" ht="22" customHeight="1">
      <x:c r="A23" s="24"/>
      <x:c r="B23" s="24"/>
      <x:c r="C23" s="2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</x:row>
    <x:row r="24" ht="22" customHeight="1">
      <x:c r="A24" s="6"/>
      <x:c r="B24" s="6"/>
      <x:c r="C24" s="6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</x:row>
    <x:row r="25" ht="22" customHeight="1">
      <x:c r="A25" s="17" t="str">
        <x:v>Settings</x:v>
      </x:c>
      <x:c r="B25" s="17"/>
      <x:c r="C25" s="17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2" customHeight="1">
      <x:c r="A26" s="17"/>
      <x:c r="B26" s="17"/>
      <x:c r="C26" s="17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</x:row>
    <x:row r="27" ht="22" customHeight="1">
      <x:c r="A27" s="6"/>
      <x:c r="B27" s="6"/>
      <x:c r="C27" s="6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2" customHeight="1">
      <x:c r="A28" s="6"/>
      <x:c r="B28" s="6"/>
      <x:c r="C28" s="6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2" customHeight="1">
      <x:c r="A29" s="6"/>
      <x:c r="B29" s="6"/>
      <x:c r="C29" s="6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2" customHeight="1">
      <x:c r="A30" s="6"/>
      <x:c r="B30" s="6"/>
      <x:c r="C30" s="6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22" customHeight="1">
      <x:c r="A31" s="6"/>
      <x:c r="B31" s="6"/>
      <x:c r="C31" s="6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2" customHeight="1">
      <x:c r="A32" s="6"/>
      <x:c r="B32" s="6"/>
      <x:c r="C32" s="6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2" customHeight="1">
      <x:c r="A33" s="6"/>
      <x:c r="B33" s="6"/>
      <x:c r="C33" s="6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2" customHeight="1">
      <x:c r="A34" s="6"/>
      <x:c r="B34" s="6"/>
      <x:c r="C34" s="6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2" customHeight="1">
      <x:c r="A35" s="6"/>
      <x:c r="B35" s="6"/>
      <x:c r="C35" s="6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2" customHeight="1">
      <x:c r="A36" s="6"/>
      <x:c r="B36" s="6"/>
      <x:c r="C36" s="6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2" customHeight="1">
      <x:c r="A37" s="6"/>
      <x:c r="B37" s="6"/>
      <x:c r="C37" s="6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2" customHeight="1">
      <x:c r="A38" s="6"/>
      <x:c r="B38" s="6"/>
      <x:c r="C38" s="6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2" customHeight="1">
      <x:c r="A39" s="32" t="str">
        <x:v>Last Updated
07-Aug-2026
10:51 AM</x:v>
      </x:c>
      <x:c r="B39" s="32"/>
      <x:c r="C39" s="32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2" customHeight="1">
      <x:c r="A40" s="32"/>
      <x:c r="B40" s="32"/>
      <x:c r="C40" s="32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2" customHeight="1">
      <x:c r="A41" s="32"/>
      <x:c r="B41" s="32"/>
      <x:c r="C41" s="32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2" customHeight="1">
      <x:c r="A42" s="32"/>
      <x:c r="B42" s="32"/>
      <x:c r="C42" s="32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2" customHeight="1">
      <x:c r="A43" s="32"/>
      <x:c r="B43" s="32"/>
      <x:c r="C43" s="32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2" customHeight="1">
      <x:c r="A44" s="6"/>
      <x:c r="B44" s="6"/>
      <x:c r="C44" s="6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2" customHeight="1">
      <x:c r="A45" s="6"/>
      <x:c r="B45" s="6"/>
      <x:c r="C45" s="6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39:C43"/>
    <x:mergeCell ref="E2:P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0" hidden="0" customWidth="1"/>
    <x:col min="8" max="8" width="20" hidden="0" customWidth="1"/>
    <x:col min="9" max="9" width="20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>
      <x:c r="A1" s="133" t="str">
        <x:v>Order ID</x:v>
      </x:c>
      <x:c r="B1" s="133" t="str">
        <x:v>Date</x:v>
      </x:c>
      <x:c r="C1" s="133" t="str">
        <x:v>Month</x:v>
      </x:c>
      <x:c r="D1" s="133" t="str">
        <x:v>Quarter</x:v>
      </x:c>
      <x:c r="E1" s="133" t="str">
        <x:v>Region</x:v>
      </x:c>
      <x:c r="F1" s="133" t="str">
        <x:v>City</x:v>
      </x:c>
      <x:c r="G1" s="133" t="str">
        <x:v>Sales Executive</x:v>
      </x:c>
      <x:c r="H1" s="133" t="str">
        <x:v>Product Category</x:v>
      </x:c>
      <x:c r="I1" s="133" t="str">
        <x:v>Product Name</x:v>
      </x:c>
      <x:c r="J1" s="133" t="str">
        <x:v>Units Sold</x:v>
      </x:c>
      <x:c r="K1" s="133" t="str">
        <x:v>Selling Price</x:v>
      </x:c>
      <x:c r="L1" s="133" t="str">
        <x:v>Revenue</x:v>
      </x:c>
      <x:c r="M1" s="133" t="str">
        <x:v>Cost</x:v>
      </x:c>
      <x:c r="N1" s="133" t="str">
        <x:v>Profit</x:v>
      </x:c>
      <x:c r="O1" s="133" t="str">
        <x:v>Profit Margin %</x:v>
      </x:c>
      <x:c r="P1" s="133" t="str">
        <x:v>Customer Type</x:v>
      </x:c>
      <x:c r="Q1" s="133" t="str">
        <x:v>Sales Channel</x:v>
      </x:c>
      <x:c r="R1" s="133" t="str">
        <x:v>Target Sales</x:v>
      </x:c>
      <x:c r="S1" s="133" t="str">
        <x:v>Achievement %</x:v>
      </x:c>
      <x:c r="T1" s="133" t="str">
        <x:v>Growth %</x:v>
      </x:c>
      <x:c r="U1" s="133" t="str">
        <x:v>Order Status</x:v>
      </x:c>
      <x:c r="V1" s="133" t="str">
        <x:v>Discount %</x:v>
      </x:c>
      <x:c r="W1" s="133" t="str">
        <x:v>Rating</x:v>
      </x:c>
    </x:row>
    <x:row r="2">
      <x:c r="A2" t="str">
        <x:v>ORD-10001</x:v>
      </x:c>
      <x:c r="B2" s="138" t="n">
        <x:v>45917</x:v>
      </x:c>
      <x:c r="C2" t="str">
        <x:v>Sep</x:v>
      </x:c>
      <x:c r="D2" t="str">
        <x:v>Q3</x:v>
      </x:c>
      <x:c r="E2" t="str">
        <x:v>South</x:v>
      </x:c>
      <x:c r="F2" t="str">
        <x:v>Chennai</x:v>
      </x:c>
      <x:c r="G2" t="str">
        <x:v>Ananya Iyer</x:v>
      </x:c>
      <x:c r="H2" t="str">
        <x:v>Accessories</x:v>
      </x:c>
      <x:c r="I2" t="str">
        <x:v>Wireless Mouse</x:v>
      </x:c>
      <x:c r="J2" t="n">
        <x:v>6</x:v>
      </x:c>
      <x:c r="K2" s="140" t="n">
        <x:v>2110</x:v>
      </x:c>
      <x:c r="L2" s="140" t="n">
        <x:v>12660</x:v>
      </x:c>
      <x:c r="M2" s="140" t="n">
        <x:v>5580</x:v>
      </x:c>
      <x:c r="N2" s="140" t="n">
        <x:v>7080</x:v>
      </x:c>
      <x:c r="O2" s="142" t="n">
        <x:v>0.5592417061611374</x:v>
      </x:c>
      <x:c r="P2" t="str">
        <x:v>Existing</x:v>
      </x:c>
      <x:c r="Q2" t="str">
        <x:v>Offline</x:v>
      </x:c>
      <x:c r="R2" s="140" t="n">
        <x:v>14100</x:v>
      </x:c>
      <x:c r="S2" s="142" t="n">
        <x:v>0.8978723404255319</x:v>
      </x:c>
      <x:c r="T2" s="142" t="n">
        <x:v>0.08970616847575623</x:v>
      </x:c>
      <x:c r="U2" t="str">
        <x:v>Completed</x:v>
      </x:c>
      <x:c r="V2" s="142" t="n">
        <x:v>0</x:v>
      </x:c>
      <x:c r="W2" t="n">
        <x:v>3.8</x:v>
      </x:c>
    </x:row>
    <x:row r="3">
      <x:c r="A3" t="str">
        <x:v>ORD-10002</x:v>
      </x:c>
      <x:c r="B3" s="138" t="n">
        <x:v>46007</x:v>
      </x:c>
      <x:c r="C3" t="str">
        <x:v>Dec</x:v>
      </x:c>
      <x:c r="D3" t="str">
        <x:v>Q4</x:v>
      </x:c>
      <x:c r="E3" t="str">
        <x:v>West</x:v>
      </x:c>
      <x:c r="F3" t="str">
        <x:v>Ahmedabad</x:v>
      </x:c>
      <x:c r="G3" t="str">
        <x:v>Kabir Shah</x:v>
      </x:c>
      <x:c r="H3" t="str">
        <x:v>Office</x:v>
      </x:c>
      <x:c r="I3" t="str">
        <x:v>Standing Desk</x:v>
      </x:c>
      <x:c r="J3" t="n">
        <x:v>10</x:v>
      </x:c>
      <x:c r="K3" s="140" t="n">
        <x:v>19600</x:v>
      </x:c>
      <x:c r="L3" s="140" t="n">
        <x:v>196000</x:v>
      </x:c>
      <x:c r="M3" s="140" t="n">
        <x:v>139000</x:v>
      </x:c>
      <x:c r="N3" s="140" t="n">
        <x:v>57000</x:v>
      </x:c>
      <x:c r="O3" s="142" t="n">
        <x:v>0.29081632653061223</x:v>
      </x:c>
      <x:c r="P3" t="str">
        <x:v>Existing</x:v>
      </x:c>
      <x:c r="Q3" t="str">
        <x:v>Offline</x:v>
      </x:c>
      <x:c r="R3" s="140" t="n">
        <x:v>186300</x:v>
      </x:c>
      <x:c r="S3" s="142" t="n">
        <x:v>1.0520665593129361</x:v>
      </x:c>
      <x:c r="T3" s="142" t="n">
        <x:v>0.1603603134901413</x:v>
      </x:c>
      <x:c r="U3" t="str">
        <x:v>Completed</x:v>
      </x:c>
      <x:c r="V3" s="142" t="n">
        <x:v>0.08</x:v>
      </x:c>
      <x:c r="W3" t="n">
        <x:v>4.8</x:v>
      </x:c>
    </x:row>
    <x:row r="4">
      <x:c r="A4" t="str">
        <x:v>ORD-10003</x:v>
      </x:c>
      <x:c r="B4" s="138" t="n">
        <x:v>45777</x:v>
      </x:c>
      <x:c r="C4" t="str">
        <x:v>Apr</x:v>
      </x:c>
      <x:c r="D4" t="str">
        <x:v>Q2</x:v>
      </x:c>
      <x:c r="E4" t="str">
        <x:v>South</x:v>
      </x:c>
      <x:c r="F4" t="str">
        <x:v>Bengaluru</x:v>
      </x:c>
      <x:c r="G4" t="str">
        <x:v>Ananya Iyer</x:v>
      </x:c>
      <x:c r="H4" t="str">
        <x:v>Electronics</x:v>
      </x:c>
      <x:c r="I4" t="str">
        <x:v>Tablet Plus</x:v>
      </x:c>
      <x:c r="J4" t="n">
        <x:v>14</x:v>
      </x:c>
      <x:c r="K4" s="140" t="n">
        <x:v>25050</x:v>
      </x:c>
      <x:c r="L4" s="140" t="n">
        <x:v>350700</x:v>
      </x:c>
      <x:c r="M4" s="140" t="n">
        <x:v>257600</x:v>
      </x:c>
      <x:c r="N4" s="140" t="n">
        <x:v>93100</x:v>
      </x:c>
      <x:c r="O4" s="142" t="n">
        <x:v>0.2654690618762475</x:v>
      </x:c>
      <x:c r="P4" t="str">
        <x:v>Existing</x:v>
      </x:c>
      <x:c r="Q4" t="str">
        <x:v>Online</x:v>
      </x:c>
      <x:c r="R4" s="140" t="n">
        <x:v>388300</x:v>
      </x:c>
      <x:c r="S4" s="142" t="n">
        <x:v>0.9031676538758692</x:v>
      </x:c>
      <x:c r="T4" s="142" t="n">
        <x:v>-0.0032324456881897695</x:v>
      </x:c>
      <x:c r="U4" t="str">
        <x:v>Completed</x:v>
      </x:c>
      <x:c r="V4" s="142" t="n">
        <x:v>0.03</x:v>
      </x:c>
      <x:c r="W4" t="n">
        <x:v>5</x:v>
      </x:c>
    </x:row>
    <x:row r="5">
      <x:c r="A5" t="str">
        <x:v>ORD-10004</x:v>
      </x:c>
      <x:c r="B5" s="138" t="n">
        <x:v>45997</x:v>
      </x:c>
      <x:c r="C5" t="str">
        <x:v>Dec</x:v>
      </x:c>
      <x:c r="D5" t="str">
        <x:v>Q4</x:v>
      </x:c>
      <x:c r="E5" t="str">
        <x:v>North</x:v>
      </x:c>
      <x:c r="F5" t="str">
        <x:v>Jaipur</x:v>
      </x:c>
      <x:c r="G5" t="str">
        <x:v>Arjun Malhotra</x:v>
      </x:c>
      <x:c r="H5" t="str">
        <x:v>Office</x:v>
      </x:c>
      <x:c r="I5" t="str">
        <x:v>Ergonomic Chair</x:v>
      </x:c>
      <x:c r="J5" t="n">
        <x:v>4</x:v>
      </x:c>
      <x:c r="K5" s="140" t="n">
        <x:v>12310</x:v>
      </x:c>
      <x:c r="L5" s="140" t="n">
        <x:v>49240</x:v>
      </x:c>
      <x:c r="M5" s="140" t="n">
        <x:v>30400</x:v>
      </x:c>
      <x:c r="N5" s="140" t="n">
        <x:v>18840</x:v>
      </x:c>
      <x:c r="O5" s="142" t="n">
        <x:v>0.3826157595450853</x:v>
      </x:c>
      <x:c r="P5" t="str">
        <x:v>Existing</x:v>
      </x:c>
      <x:c r="Q5" t="str">
        <x:v>Online</x:v>
      </x:c>
      <x:c r="R5" s="140" t="n">
        <x:v>46900</x:v>
      </x:c>
      <x:c r="S5" s="142" t="n">
        <x:v>1.0498933901918976</x:v>
      </x:c>
      <x:c r="T5" s="142" t="n">
        <x:v>0.12269810202373942</x:v>
      </x:c>
      <x:c r="U5" t="str">
        <x:v>Completed</x:v>
      </x:c>
      <x:c r="V5" s="142" t="n">
        <x:v>0</x:v>
      </x:c>
      <x:c r="W5" t="n">
        <x:v>4.3</x:v>
      </x:c>
    </x:row>
    <x:row r="6">
      <x:c r="A6" t="str">
        <x:v>ORD-10005</x:v>
      </x:c>
      <x:c r="B6" s="138" t="n">
        <x:v>45726</x:v>
      </x:c>
      <x:c r="C6" t="str">
        <x:v>Mar</x:v>
      </x:c>
      <x:c r="D6" t="str">
        <x:v>Q1</x:v>
      </x:c>
      <x:c r="E6" t="str">
        <x:v>East</x:v>
      </x:c>
      <x:c r="F6" t="str">
        <x:v>Bhubaneswar</x:v>
      </x:c>
      <x:c r="G6" t="str">
        <x:v>Riya Das</x:v>
      </x:c>
      <x:c r="H6" t="str">
        <x:v>Office</x:v>
      </x:c>
      <x:c r="I6" t="str">
        <x:v>Laser Printer</x:v>
      </x:c>
      <x:c r="J6" t="n">
        <x:v>12</x:v>
      </x:c>
      <x:c r="K6" s="140" t="n">
        <x:v>19990</x:v>
      </x:c>
      <x:c r="L6" s="140" t="n">
        <x:v>239880</x:v>
      </x:c>
      <x:c r="M6" s="140" t="n">
        <x:v>151200</x:v>
      </x:c>
      <x:c r="N6" s="140" t="n">
        <x:v>88680</x:v>
      </x:c>
      <x:c r="O6" s="142" t="n">
        <x:v>0.3696848424212106</x:v>
      </x:c>
      <x:c r="P6" t="str">
        <x:v>Existing</x:v>
      </x:c>
      <x:c r="Q6" t="str">
        <x:v>Online</x:v>
      </x:c>
      <x:c r="R6" s="140" t="n">
        <x:v>240800</x:v>
      </x:c>
      <x:c r="S6" s="142" t="n">
        <x:v>0.9961794019933555</x:v>
      </x:c>
      <x:c r="T6" s="142" t="n">
        <x:v>0.04688268212716458</x:v>
      </x:c>
      <x:c r="U6" t="str">
        <x:v>Completed</x:v>
      </x:c>
      <x:c r="V6" s="142" t="n">
        <x:v>0</x:v>
      </x:c>
      <x:c r="W6" t="n">
        <x:v>4.5</x:v>
      </x:c>
    </x:row>
    <x:row r="7">
      <x:c r="A7" t="str">
        <x:v>ORD-10006</x:v>
      </x:c>
      <x:c r="B7" s="138" t="n">
        <x:v>45675</x:v>
      </x:c>
      <x:c r="C7" t="str">
        <x:v>Jan</x:v>
      </x:c>
      <x:c r="D7" t="str">
        <x:v>Q1</x:v>
      </x:c>
      <x:c r="E7" t="str">
        <x:v>South</x:v>
      </x:c>
      <x:c r="F7" t="str">
        <x:v>Bengaluru</x:v>
      </x:c>
      <x:c r="G7" t="str">
        <x:v>Vikram Rao</x:v>
      </x:c>
      <x:c r="H7" t="str">
        <x:v>Electronics</x:v>
      </x:c>
      <x:c r="I7" t="str">
        <x:v>Tablet Plus</x:v>
      </x:c>
      <x:c r="J7" t="n">
        <x:v>16</x:v>
      </x:c>
      <x:c r="K7" s="140" t="n">
        <x:v>25950</x:v>
      </x:c>
      <x:c r="L7" s="140" t="n">
        <x:v>415200</x:v>
      </x:c>
      <x:c r="M7" s="140" t="n">
        <x:v>294400</x:v>
      </x:c>
      <x:c r="N7" s="140" t="n">
        <x:v>120800</x:v>
      </x:c>
      <x:c r="O7" s="142" t="n">
        <x:v>0.2909441233140655</x:v>
      </x:c>
      <x:c r="P7" t="str">
        <x:v>New</x:v>
      </x:c>
      <x:c r="Q7" t="str">
        <x:v>Offline</x:v>
      </x:c>
      <x:c r="R7" s="140" t="n">
        <x:v>407100</x:v>
      </x:c>
      <x:c r="S7" s="142" t="n">
        <x:v>1.0198968312453942</x:v>
      </x:c>
      <x:c r="T7" s="142" t="n">
        <x:v>0.08096206515288383</x:v>
      </x:c>
      <x:c r="U7" t="str">
        <x:v>Completed</x:v>
      </x:c>
      <x:c r="V7" s="142" t="n">
        <x:v>0</x:v>
      </x:c>
      <x:c r="W7" t="n">
        <x:v>4.9</x:v>
      </x:c>
    </x:row>
    <x:row r="8">
      <x:c r="A8" t="str">
        <x:v>ORD-10007</x:v>
      </x:c>
      <x:c r="B8" s="138" t="n">
        <x:v>45917</x:v>
      </x:c>
      <x:c r="C8" t="str">
        <x:v>Sep</x:v>
      </x:c>
      <x:c r="D8" t="str">
        <x:v>Q3</x:v>
      </x:c>
      <x:c r="E8" t="str">
        <x:v>North</x:v>
      </x:c>
      <x:c r="F8" t="str">
        <x:v>Delhi</x:v>
      </x:c>
      <x:c r="G8" t="str">
        <x:v>Neha Verma</x:v>
      </x:c>
      <x:c r="H8" t="str">
        <x:v>Accessories</x:v>
      </x:c>
      <x:c r="I8" t="str">
        <x:v>Keyboard</x:v>
      </x:c>
      <x:c r="J8" t="n">
        <x:v>14</x:v>
      </x:c>
      <x:c r="K8" s="140" t="n">
        <x:v>3700</x:v>
      </x:c>
      <x:c r="L8" s="140" t="n">
        <x:v>51800</x:v>
      </x:c>
      <x:c r="M8" s="140" t="n">
        <x:v>24640</x:v>
      </x:c>
      <x:c r="N8" s="140" t="n">
        <x:v>27160</x:v>
      </x:c>
      <x:c r="O8" s="142" t="n">
        <x:v>0.5243243243243243</x:v>
      </x:c>
      <x:c r="P8" t="str">
        <x:v>Existing</x:v>
      </x:c>
      <x:c r="Q8" t="str">
        <x:v>Online</x:v>
      </x:c>
      <x:c r="R8" s="140" t="n">
        <x:v>48700</x:v>
      </x:c>
      <x:c r="S8" s="142" t="n">
        <x:v>1.0636550308008215</x:v>
      </x:c>
      <x:c r="T8" s="142" t="n">
        <x:v>0.16558137591683542</x:v>
      </x:c>
      <x:c r="U8" t="str">
        <x:v>Completed</x:v>
      </x:c>
      <x:c r="V8" s="142" t="n">
        <x:v>0.08</x:v>
      </x:c>
      <x:c r="W8" t="n">
        <x:v>3.7</x:v>
      </x:c>
    </x:row>
    <x:row r="9">
      <x:c r="A9" t="str">
        <x:v>ORD-10008</x:v>
      </x:c>
      <x:c r="B9" s="138" t="n">
        <x:v>45696</x:v>
      </x:c>
      <x:c r="C9" t="str">
        <x:v>Feb</x:v>
      </x:c>
      <x:c r="D9" t="str">
        <x:v>Q1</x:v>
      </x:c>
      <x:c r="E9" t="str">
        <x:v>West</x:v>
      </x:c>
      <x:c r="F9" t="str">
        <x:v>Pune</x:v>
      </x:c>
      <x:c r="G9" t="str">
        <x:v>Kabir Shah</x:v>
      </x:c>
      <x:c r="H9" t="str">
        <x:v>Home</x:v>
      </x:c>
      <x:c r="I9" t="str">
        <x:v>Vacuum Cleaner</x:v>
      </x:c>
      <x:c r="J9" t="n">
        <x:v>7</x:v>
      </x:c>
      <x:c r="K9" s="140" t="n">
        <x:v>11780</x:v>
      </x:c>
      <x:c r="L9" s="140" t="n">
        <x:v>82460</x:v>
      </x:c>
      <x:c r="M9" s="140" t="n">
        <x:v>49700</x:v>
      </x:c>
      <x:c r="N9" s="140" t="n">
        <x:v>32760</x:v>
      </x:c>
      <x:c r="O9" s="142" t="n">
        <x:v>0.39728353140916806</x:v>
      </x:c>
      <x:c r="P9" t="str">
        <x:v>Existing</x:v>
      </x:c>
      <x:c r="Q9" t="str">
        <x:v>Offline</x:v>
      </x:c>
      <x:c r="R9" s="140" t="n">
        <x:v>78200</x:v>
      </x:c>
      <x:c r="S9" s="142" t="n">
        <x:v>1.0544757033248082</x:v>
      </x:c>
      <x:c r="T9" s="142" t="n">
        <x:v>-0.060282769608224346</x:v>
      </x:c>
      <x:c r="U9" t="str">
        <x:v>Completed</x:v>
      </x:c>
      <x:c r="V9" s="142" t="n">
        <x:v>0</x:v>
      </x:c>
      <x:c r="W9" t="n">
        <x:v>4.5</x:v>
      </x:c>
    </x:row>
    <x:row r="10">
      <x:c r="A10" t="str">
        <x:v>ORD-10009</x:v>
      </x:c>
      <x:c r="B10" s="138" t="n">
        <x:v>45766</x:v>
      </x:c>
      <x:c r="C10" t="str">
        <x:v>Apr</x:v>
      </x:c>
      <x:c r="D10" t="str">
        <x:v>Q2</x:v>
      </x:c>
      <x:c r="E10" t="str">
        <x:v>West</x:v>
      </x:c>
      <x:c r="F10" t="str">
        <x:v>Mumbai</x:v>
      </x:c>
      <x:c r="G10" t="str">
        <x:v>Meera Patel</x:v>
      </x:c>
      <x:c r="H10" t="str">
        <x:v>Home</x:v>
      </x:c>
      <x:c r="I10" t="str">
        <x:v>Vacuum Cleaner</x:v>
      </x:c>
      <x:c r="J10" t="n">
        <x:v>4</x:v>
      </x:c>
      <x:c r="K10" s="140" t="n">
        <x:v>11160</x:v>
      </x:c>
      <x:c r="L10" s="140" t="n">
        <x:v>44640</x:v>
      </x:c>
      <x:c r="M10" s="140" t="n">
        <x:v>28400</x:v>
      </x:c>
      <x:c r="N10" s="140" t="n">
        <x:v>16240</x:v>
      </x:c>
      <x:c r="O10" s="142" t="n">
        <x:v>0.36379928315412186</x:v>
      </x:c>
      <x:c r="P10" t="str">
        <x:v>Existing</x:v>
      </x:c>
      <x:c r="Q10" t="str">
        <x:v>Online</x:v>
      </x:c>
      <x:c r="R10" s="140" t="n">
        <x:v>50800</x:v>
      </x:c>
      <x:c r="S10" s="142" t="n">
        <x:v>0.878740157480315</x:v>
      </x:c>
      <x:c r="T10" s="142" t="n">
        <x:v>0.05755332994809438</x:v>
      </x:c>
      <x:c r="U10" t="str">
        <x:v>Completed</x:v>
      </x:c>
      <x:c r="V10" s="142" t="n">
        <x:v>0.03</x:v>
      </x:c>
      <x:c r="W10" t="n">
        <x:v>3.6</x:v>
      </x:c>
    </x:row>
    <x:row r="11">
      <x:c r="A11" t="str">
        <x:v>ORD-10010</x:v>
      </x:c>
      <x:c r="B11" s="138" t="n">
        <x:v>45766</x:v>
      </x:c>
      <x:c r="C11" t="str">
        <x:v>Apr</x:v>
      </x:c>
      <x:c r="D11" t="str">
        <x:v>Q2</x:v>
      </x:c>
      <x:c r="E11" t="str">
        <x:v>North</x:v>
      </x:c>
      <x:c r="F11" t="str">
        <x:v>Lucknow</x:v>
      </x:c>
      <x:c r="G11" t="str">
        <x:v>Neha Verma</x:v>
      </x:c>
      <x:c r="H11" t="str">
        <x:v>Office</x:v>
      </x:c>
      <x:c r="I11" t="str">
        <x:v>Standing Desk</x:v>
      </x:c>
      <x:c r="J11" t="n">
        <x:v>7</x:v>
      </x:c>
      <x:c r="K11" s="140" t="n">
        <x:v>21590</x:v>
      </x:c>
      <x:c r="L11" s="140" t="n">
        <x:v>151130</x:v>
      </x:c>
      <x:c r="M11" s="140" t="n">
        <x:v>97300</x:v>
      </x:c>
      <x:c r="N11" s="140" t="n">
        <x:v>53830</x:v>
      </x:c>
      <x:c r="O11" s="142" t="n">
        <x:v>0.3561834182491894</x:v>
      </x:c>
      <x:c r="P11" t="str">
        <x:v>Existing</x:v>
      </x:c>
      <x:c r="Q11" t="str">
        <x:v>Offline</x:v>
      </x:c>
      <x:c r="R11" s="140" t="n">
        <x:v>172300</x:v>
      </x:c>
      <x:c r="S11" s="142" t="n">
        <x:v>0.8771329077190946</x:v>
      </x:c>
      <x:c r="T11" s="142" t="n">
        <x:v>-0.012931725063700272</x:v>
      </x:c>
      <x:c r="U11" t="str">
        <x:v>Completed</x:v>
      </x:c>
      <x:c r="V11" s="142" t="n">
        <x:v>0</x:v>
      </x:c>
      <x:c r="W11" t="n">
        <x:v>4.5</x:v>
      </x:c>
    </x:row>
    <x:row r="12">
      <x:c r="A12" t="str">
        <x:v>ORD-10011</x:v>
      </x:c>
      <x:c r="B12" s="138" t="n">
        <x:v>45908</x:v>
      </x:c>
      <x:c r="C12" t="str">
        <x:v>Sep</x:v>
      </x:c>
      <x:c r="D12" t="str">
        <x:v>Q3</x:v>
      </x:c>
      <x:c r="E12" t="str">
        <x:v>East</x:v>
      </x:c>
      <x:c r="F12" t="str">
        <x:v>Kolkata</x:v>
      </x:c>
      <x:c r="G12" t="str">
        <x:v>Aarav Sen</x:v>
      </x:c>
      <x:c r="H12" t="str">
        <x:v>Office</x:v>
      </x:c>
      <x:c r="I12" t="str">
        <x:v>Ergonomic Chair</x:v>
      </x:c>
      <x:c r="J12" t="n">
        <x:v>15</x:v>
      </x:c>
      <x:c r="K12" s="140" t="n">
        <x:v>12370</x:v>
      </x:c>
      <x:c r="L12" s="140" t="n">
        <x:v>185550</x:v>
      </x:c>
      <x:c r="M12" s="140" t="n">
        <x:v>114000</x:v>
      </x:c>
      <x:c r="N12" s="140" t="n">
        <x:v>71550</x:v>
      </x:c>
      <x:c r="O12" s="142" t="n">
        <x:v>0.3856103476151981</x:v>
      </x:c>
      <x:c r="P12" t="str">
        <x:v>New</x:v>
      </x:c>
      <x:c r="Q12" t="str">
        <x:v>Offline</x:v>
      </x:c>
      <x:c r="R12" s="140" t="n">
        <x:v>208200</x:v>
      </x:c>
      <x:c r="S12" s="142" t="n">
        <x:v>0.8912103746397695</x:v>
      </x:c>
      <x:c r="T12" s="142" t="n">
        <x:v>-0.037962779154901816</x:v>
      </x:c>
      <x:c r="U12" t="str">
        <x:v>Completed</x:v>
      </x:c>
      <x:c r="V12" s="142" t="n">
        <x:v>0.05</x:v>
      </x:c>
      <x:c r="W12" t="n">
        <x:v>4.1</x:v>
      </x:c>
    </x:row>
    <x:row r="13">
      <x:c r="A13" t="str">
        <x:v>ORD-10012</x:v>
      </x:c>
      <x:c r="B13" s="138" t="n">
        <x:v>45812</x:v>
      </x:c>
      <x:c r="C13" t="str">
        <x:v>Jun</x:v>
      </x:c>
      <x:c r="D13" t="str">
        <x:v>Q2</x:v>
      </x:c>
      <x:c r="E13" t="str">
        <x:v>North</x:v>
      </x:c>
      <x:c r="F13" t="str">
        <x:v>Lucknow</x:v>
      </x:c>
      <x:c r="G13" t="str">
        <x:v>Neha Verma</x:v>
      </x:c>
      <x:c r="H13" t="str">
        <x:v>Office</x:v>
      </x:c>
      <x:c r="I13" t="str">
        <x:v>Ergonomic Chair</x:v>
      </x:c>
      <x:c r="J13" t="n">
        <x:v>9</x:v>
      </x:c>
      <x:c r="K13" s="140" t="n">
        <x:v>12350</x:v>
      </x:c>
      <x:c r="L13" s="140" t="n">
        <x:v>111150</x:v>
      </x:c>
      <x:c r="M13" s="140" t="n">
        <x:v>68400</x:v>
      </x:c>
      <x:c r="N13" s="140" t="n">
        <x:v>42750</x:v>
      </x:c>
      <x:c r="O13" s="142" t="n">
        <x:v>0.38461538461538464</x:v>
      </x:c>
      <x:c r="P13" t="str">
        <x:v>Existing</x:v>
      </x:c>
      <x:c r="Q13" t="str">
        <x:v>Online</x:v>
      </x:c>
      <x:c r="R13" s="140" t="n">
        <x:v>102100</x:v>
      </x:c>
      <x:c r="S13" s="142" t="n">
        <x:v>1.0886385896180215</x:v>
      </x:c>
      <x:c r="T13" s="142" t="n">
        <x:v>-0.07943022697318246</x:v>
      </x:c>
      <x:c r="U13" t="str">
        <x:v>Completed</x:v>
      </x:c>
      <x:c r="V13" s="142" t="n">
        <x:v>0</x:v>
      </x:c>
      <x:c r="W13" t="n">
        <x:v>4.3</x:v>
      </x:c>
    </x:row>
    <x:row r="14">
      <x:c r="A14" t="str">
        <x:v>ORD-10013</x:v>
      </x:c>
      <x:c r="B14" s="138" t="n">
        <x:v>45917</x:v>
      </x:c>
      <x:c r="C14" t="str">
        <x:v>Sep</x:v>
      </x:c>
      <x:c r="D14" t="str">
        <x:v>Q3</x:v>
      </x:c>
      <x:c r="E14" t="str">
        <x:v>South</x:v>
      </x:c>
      <x:c r="F14" t="str">
        <x:v>Hyderabad</x:v>
      </x:c>
      <x:c r="G14" t="str">
        <x:v>Vikram Rao</x:v>
      </x:c>
      <x:c r="H14" t="str">
        <x:v>Home</x:v>
      </x:c>
      <x:c r="I14" t="str">
        <x:v>Microwave</x:v>
      </x:c>
      <x:c r="J14" t="n">
        <x:v>6</x:v>
      </x:c>
      <x:c r="K14" s="140" t="n">
        <x:v>13480</x:v>
      </x:c>
      <x:c r="L14" s="140" t="n">
        <x:v>80880</x:v>
      </x:c>
      <x:c r="M14" s="140" t="n">
        <x:v>49500</x:v>
      </x:c>
      <x:c r="N14" s="140" t="n">
        <x:v>31380</x:v>
      </x:c>
      <x:c r="O14" s="142" t="n">
        <x:v>0.3879821958456973</x:v>
      </x:c>
      <x:c r="P14" t="str">
        <x:v>Existing</x:v>
      </x:c>
      <x:c r="Q14" t="str">
        <x:v>Offline</x:v>
      </x:c>
      <x:c r="R14" s="140" t="n">
        <x:v>81900</x:v>
      </x:c>
      <x:c r="S14" s="142" t="n">
        <x:v>0.9875457875457876</x:v>
      </x:c>
      <x:c r="T14" s="142" t="n">
        <x:v>-0.06496737426099923</x:v>
      </x:c>
      <x:c r="U14" t="str">
        <x:v>Completed</x:v>
      </x:c>
      <x:c r="V14" s="142" t="n">
        <x:v>0</x:v>
      </x:c>
      <x:c r="W14" t="n">
        <x:v>3.6</x:v>
      </x:c>
    </x:row>
    <x:row r="15">
      <x:c r="A15" t="str">
        <x:v>ORD-10014</x:v>
      </x:c>
      <x:c r="B15" s="138" t="n">
        <x:v>45874</x:v>
      </x:c>
      <x:c r="C15" t="str">
        <x:v>Aug</x:v>
      </x:c>
      <x:c r="D15" t="str">
        <x:v>Q3</x:v>
      </x:c>
      <x:c r="E15" t="str">
        <x:v>East</x:v>
      </x:c>
      <x:c r="F15" t="str">
        <x:v>Kolkata</x:v>
      </x:c>
      <x:c r="G15" t="str">
        <x:v>Riya Das</x:v>
      </x:c>
      <x:c r="H15" t="str">
        <x:v>Home</x:v>
      </x:c>
      <x:c r="I15" t="str">
        <x:v>Microwave</x:v>
      </x:c>
      <x:c r="J15" t="n">
        <x:v>3</x:v>
      </x:c>
      <x:c r="K15" s="140" t="n">
        <x:v>13780</x:v>
      </x:c>
      <x:c r="L15" s="140" t="n">
        <x:v>41340</x:v>
      </x:c>
      <x:c r="M15" s="140" t="n">
        <x:v>24750</x:v>
      </x:c>
      <x:c r="N15" s="140" t="n">
        <x:v>16590</x:v>
      </x:c>
      <x:c r="O15" s="142" t="n">
        <x:v>0.40130624092888245</x:v>
      </x:c>
      <x:c r="P15" t="str">
        <x:v>Existing</x:v>
      </x:c>
      <x:c r="Q15" t="str">
        <x:v>Online</x:v>
      </x:c>
      <x:c r="R15" s="140" t="n">
        <x:v>38600</x:v>
      </x:c>
      <x:c r="S15" s="142" t="n">
        <x:v>1.0709844559585493</x:v>
      </x:c>
      <x:c r="T15" s="142" t="n">
        <x:v>-0.04700007894859744</x:v>
      </x:c>
      <x:c r="U15" t="str">
        <x:v>Completed</x:v>
      </x:c>
      <x:c r="V15" s="142" t="n">
        <x:v>0</x:v>
      </x:c>
      <x:c r="W15" t="n">
        <x:v>3.7</x:v>
      </x:c>
    </x:row>
    <x:row r="16">
      <x:c r="A16" t="str">
        <x:v>ORD-10015</x:v>
      </x:c>
      <x:c r="B16" s="138" t="n">
        <x:v>45799</x:v>
      </x:c>
      <x:c r="C16" t="str">
        <x:v>May</x:v>
      </x:c>
      <x:c r="D16" t="str">
        <x:v>Q2</x:v>
      </x:c>
      <x:c r="E16" t="str">
        <x:v>North</x:v>
      </x:c>
      <x:c r="F16" t="str">
        <x:v>Lucknow</x:v>
      </x:c>
      <x:c r="G16" t="str">
        <x:v>Arjun Malhotra</x:v>
      </x:c>
      <x:c r="H16" t="str">
        <x:v>Accessories</x:v>
      </x:c>
      <x:c r="I16" t="str">
        <x:v>Wireless Mouse</x:v>
      </x:c>
      <x:c r="J16" t="n">
        <x:v>11</x:v>
      </x:c>
      <x:c r="K16" s="140" t="n">
        <x:v>2070</x:v>
      </x:c>
      <x:c r="L16" s="140" t="n">
        <x:v>22770</x:v>
      </x:c>
      <x:c r="M16" s="140" t="n">
        <x:v>10230</x:v>
      </x:c>
      <x:c r="N16" s="140" t="n">
        <x:v>12540</x:v>
      </x:c>
      <x:c r="O16" s="142" t="n">
        <x:v>0.5507246376811594</x:v>
      </x:c>
      <x:c r="P16" t="str">
        <x:v>New</x:v>
      </x:c>
      <x:c r="Q16" t="str">
        <x:v>Online</x:v>
      </x:c>
      <x:c r="R16" s="140" t="n">
        <x:v>20500</x:v>
      </x:c>
      <x:c r="S16" s="142" t="n">
        <x:v>1.1107317073170733</x:v>
      </x:c>
      <x:c r="T16" s="142" t="n">
        <x:v>-0.07298017980008446</x:v>
      </x:c>
      <x:c r="U16" t="str">
        <x:v>Completed</x:v>
      </x:c>
      <x:c r="V16" s="142" t="n">
        <x:v>0.05</x:v>
      </x:c>
      <x:c r="W16" t="n">
        <x:v>3.9</x:v>
      </x:c>
    </x:row>
    <x:row r="17">
      <x:c r="A17" t="str">
        <x:v>ORD-10016</x:v>
      </x:c>
      <x:c r="B17" s="138" t="n">
        <x:v>45953</x:v>
      </x:c>
      <x:c r="C17" t="str">
        <x:v>Oct</x:v>
      </x:c>
      <x:c r="D17" t="str">
        <x:v>Q4</x:v>
      </x:c>
      <x:c r="E17" t="str">
        <x:v>South</x:v>
      </x:c>
      <x:c r="F17" t="str">
        <x:v>Bengaluru</x:v>
      </x:c>
      <x:c r="G17" t="str">
        <x:v>Ananya Iyer</x:v>
      </x:c>
      <x:c r="H17" t="str">
        <x:v>Office</x:v>
      </x:c>
      <x:c r="I17" t="str">
        <x:v>Ergonomic Chair</x:v>
      </x:c>
      <x:c r="J17" t="n">
        <x:v>13</x:v>
      </x:c>
      <x:c r="K17" s="140" t="n">
        <x:v>12610</x:v>
      </x:c>
      <x:c r="L17" s="140" t="n">
        <x:v>163930</x:v>
      </x:c>
      <x:c r="M17" s="140" t="n">
        <x:v>98800</x:v>
      </x:c>
      <x:c r="N17" s="140" t="n">
        <x:v>65130</x:v>
      </x:c>
      <x:c r="O17" s="142" t="n">
        <x:v>0.3973037272006344</x:v>
      </x:c>
      <x:c r="P17" t="str">
        <x:v>Existing</x:v>
      </x:c>
      <x:c r="Q17" t="str">
        <x:v>Online</x:v>
      </x:c>
      <x:c r="R17" s="140" t="n">
        <x:v>177300</x:v>
      </x:c>
      <x:c r="S17" s="142" t="n">
        <x:v>0.9245910885504794</x:v>
      </x:c>
      <x:c r="T17" s="142" t="n">
        <x:v>0.032820442382129694</x:v>
      </x:c>
      <x:c r="U17" t="str">
        <x:v>Completed</x:v>
      </x:c>
      <x:c r="V17" s="142" t="n">
        <x:v>0.03</x:v>
      </x:c>
      <x:c r="W17" t="n">
        <x:v>4.8</x:v>
      </x:c>
    </x:row>
    <x:row r="18">
      <x:c r="A18" t="str">
        <x:v>ORD-10017</x:v>
      </x:c>
      <x:c r="B18" s="138" t="n">
        <x:v>45701</x:v>
      </x:c>
      <x:c r="C18" t="str">
        <x:v>Feb</x:v>
      </x:c>
      <x:c r="D18" t="str">
        <x:v>Q1</x:v>
      </x:c>
      <x:c r="E18" t="str">
        <x:v>North</x:v>
      </x:c>
      <x:c r="F18" t="str">
        <x:v>Delhi</x:v>
      </x:c>
      <x:c r="G18" t="str">
        <x:v>Neha Verma</x:v>
      </x:c>
      <x:c r="H18" t="str">
        <x:v>Home</x:v>
      </x:c>
      <x:c r="I18" t="str">
        <x:v>Air Purifier</x:v>
      </x:c>
      <x:c r="J18" t="n">
        <x:v>8</x:v>
      </x:c>
      <x:c r="K18" s="140" t="n">
        <x:v>17310</x:v>
      </x:c>
      <x:c r="L18" s="140" t="n">
        <x:v>138480</x:v>
      </x:c>
      <x:c r="M18" s="140" t="n">
        <x:v>83200</x:v>
      </x:c>
      <x:c r="N18" s="140" t="n">
        <x:v>55280</x:v>
      </x:c>
      <x:c r="O18" s="142" t="n">
        <x:v>0.3991912189485846</x:v>
      </x:c>
      <x:c r="P18" t="str">
        <x:v>Existing</x:v>
      </x:c>
      <x:c r="Q18" t="str">
        <x:v>Online</x:v>
      </x:c>
      <x:c r="R18" s="140" t="n">
        <x:v>126000</x:v>
      </x:c>
      <x:c r="S18" s="142" t="n">
        <x:v>1.099047619047619</x:v>
      </x:c>
      <x:c r="T18" s="142" t="n">
        <x:v>0.07039133492648371</x:v>
      </x:c>
      <x:c r="U18" t="str">
        <x:v>Completed</x:v>
      </x:c>
      <x:c r="V18" s="142" t="n">
        <x:v>0</x:v>
      </x:c>
      <x:c r="W18" t="n">
        <x:v>4.1</x:v>
      </x:c>
    </x:row>
    <x:row r="19">
      <x:c r="A19" t="str">
        <x:v>ORD-10018</x:v>
      </x:c>
      <x:c r="B19" s="138" t="n">
        <x:v>45814</x:v>
      </x:c>
      <x:c r="C19" t="str">
        <x:v>Jun</x:v>
      </x:c>
      <x:c r="D19" t="str">
        <x:v>Q2</x:v>
      </x:c>
      <x:c r="E19" t="str">
        <x:v>East</x:v>
      </x:c>
      <x:c r="F19" t="str">
        <x:v>Bhubaneswar</x:v>
      </x:c>
      <x:c r="G19" t="str">
        <x:v>Aarav Sen</x:v>
      </x:c>
      <x:c r="H19" t="str">
        <x:v>Office</x:v>
      </x:c>
      <x:c r="I19" t="str">
        <x:v>Standing Desk</x:v>
      </x:c>
      <x:c r="J19" t="n">
        <x:v>2</x:v>
      </x:c>
      <x:c r="K19" s="140" t="n">
        <x:v>21080</x:v>
      </x:c>
      <x:c r="L19" s="140" t="n">
        <x:v>42160</x:v>
      </x:c>
      <x:c r="M19" s="140" t="n">
        <x:v>27800</x:v>
      </x:c>
      <x:c r="N19" s="140" t="n">
        <x:v>14360</x:v>
      </x:c>
      <x:c r="O19" s="142" t="n">
        <x:v>0.340607210626186</x:v>
      </x:c>
      <x:c r="P19" t="str">
        <x:v>New</x:v>
      </x:c>
      <x:c r="Q19" t="str">
        <x:v>Offline</x:v>
      </x:c>
      <x:c r="R19" s="140" t="n">
        <x:v>48400</x:v>
      </x:c>
      <x:c r="S19" s="142" t="n">
        <x:v>0.8710743801652893</x:v>
      </x:c>
      <x:c r="T19" s="142" t="n">
        <x:v>0.07168850747855914</x:v>
      </x:c>
      <x:c r="U19" t="str">
        <x:v>Completed</x:v>
      </x:c>
      <x:c r="V19" s="142" t="n">
        <x:v>0</x:v>
      </x:c>
      <x:c r="W19" t="n">
        <x:v>3.9</x:v>
      </x:c>
    </x:row>
    <x:row r="20">
      <x:c r="A20" t="str">
        <x:v>ORD-10019</x:v>
      </x:c>
      <x:c r="B20" s="138" t="n">
        <x:v>45941</x:v>
      </x:c>
      <x:c r="C20" t="str">
        <x:v>Oct</x:v>
      </x:c>
      <x:c r="D20" t="str">
        <x:v>Q4</x:v>
      </x:c>
      <x:c r="E20" t="str">
        <x:v>North</x:v>
      </x:c>
      <x:c r="F20" t="str">
        <x:v>Delhi</x:v>
      </x:c>
      <x:c r="G20" t="str">
        <x:v>Neha Verma</x:v>
      </x:c>
      <x:c r="H20" t="str">
        <x:v>Accessories</x:v>
      </x:c>
      <x:c r="I20" t="str">
        <x:v>Wireless Mouse</x:v>
      </x:c>
      <x:c r="J20" t="n">
        <x:v>3</x:v>
      </x:c>
      <x:c r="K20" s="140" t="n">
        <x:v>2130</x:v>
      </x:c>
      <x:c r="L20" s="140" t="n">
        <x:v>6390</x:v>
      </x:c>
      <x:c r="M20" s="140" t="n">
        <x:v>2790</x:v>
      </x:c>
      <x:c r="N20" s="140" t="n">
        <x:v>3600</x:v>
      </x:c>
      <x:c r="O20" s="142" t="n">
        <x:v>0.5633802816901409</x:v>
      </x:c>
      <x:c r="P20" t="str">
        <x:v>New</x:v>
      </x:c>
      <x:c r="Q20" t="str">
        <x:v>Online</x:v>
      </x:c>
      <x:c r="R20" s="140" t="n">
        <x:v>7300</x:v>
      </x:c>
      <x:c r="S20" s="142" t="n">
        <x:v>0.8753424657534247</x:v>
      </x:c>
      <x:c r="T20" s="142" t="n">
        <x:v>0.009401006820795574</x:v>
      </x:c>
      <x:c r="U20" t="str">
        <x:v>Completed</x:v>
      </x:c>
      <x:c r="V20" s="142" t="n">
        <x:v>0</x:v>
      </x:c>
      <x:c r="W20" t="n">
        <x:v>3.8</x:v>
      </x:c>
    </x:row>
    <x:row r="21">
      <x:c r="A21" t="str">
        <x:v>ORD-10020</x:v>
      </x:c>
      <x:c r="B21" s="138" t="n">
        <x:v>45659</x:v>
      </x:c>
      <x:c r="C21" t="str">
        <x:v>Jan</x:v>
      </x:c>
      <x:c r="D21" t="str">
        <x:v>Q1</x:v>
      </x:c>
      <x:c r="E21" t="str">
        <x:v>East</x:v>
      </x:c>
      <x:c r="F21" t="str">
        <x:v>Bhubaneswar</x:v>
      </x:c>
      <x:c r="G21" t="str">
        <x:v>Riya Das</x:v>
      </x:c>
      <x:c r="H21" t="str">
        <x:v>Accessories</x:v>
      </x:c>
      <x:c r="I21" t="str">
        <x:v>Wireless Mouse</x:v>
      </x:c>
      <x:c r="J21" t="n">
        <x:v>15</x:v>
      </x:c>
      <x:c r="K21" s="140" t="n">
        <x:v>2100</x:v>
      </x:c>
      <x:c r="L21" s="140" t="n">
        <x:v>31500</x:v>
      </x:c>
      <x:c r="M21" s="140" t="n">
        <x:v>13950</x:v>
      </x:c>
      <x:c r="N21" s="140" t="n">
        <x:v>17550</x:v>
      </x:c>
      <x:c r="O21" s="142" t="n">
        <x:v>0.5571428571428572</x:v>
      </x:c>
      <x:c r="P21" t="str">
        <x:v>New</x:v>
      </x:c>
      <x:c r="Q21" t="str">
        <x:v>Offline</x:v>
      </x:c>
      <x:c r="R21" s="140" t="n">
        <x:v>30700</x:v>
      </x:c>
      <x:c r="S21" s="142" t="n">
        <x:v>1.0260586319218241</x:v>
      </x:c>
      <x:c r="T21" s="142" t="n">
        <x:v>-0.03642841268840893</x:v>
      </x:c>
      <x:c r="U21" t="str">
        <x:v>Cancelled</x:v>
      </x:c>
      <x:c r="V21" s="142" t="n">
        <x:v>0</x:v>
      </x:c>
      <x:c r="W21" t="n">
        <x:v>3.6</x:v>
      </x:c>
    </x:row>
    <x:row r="22">
      <x:c r="A22" t="str">
        <x:v>ORD-10021</x:v>
      </x:c>
      <x:c r="B22" s="138" t="n">
        <x:v>45748</x:v>
      </x:c>
      <x:c r="C22" t="str">
        <x:v>Apr</x:v>
      </x:c>
      <x:c r="D22" t="str">
        <x:v>Q2</x:v>
      </x:c>
      <x:c r="E22" t="str">
        <x:v>West</x:v>
      </x:c>
      <x:c r="F22" t="str">
        <x:v>Ahmedabad</x:v>
      </x:c>
      <x:c r="G22" t="str">
        <x:v>Kabir Shah</x:v>
      </x:c>
      <x:c r="H22" t="str">
        <x:v>Home</x:v>
      </x:c>
      <x:c r="I22" t="str">
        <x:v>Microwave</x:v>
      </x:c>
      <x:c r="J22" t="n">
        <x:v>7</x:v>
      </x:c>
      <x:c r="K22" s="140" t="n">
        <x:v>12720</x:v>
      </x:c>
      <x:c r="L22" s="140" t="n">
        <x:v>89040</x:v>
      </x:c>
      <x:c r="M22" s="140" t="n">
        <x:v>57750</x:v>
      </x:c>
      <x:c r="N22" s="140" t="n">
        <x:v>31290</x:v>
      </x:c>
      <x:c r="O22" s="142" t="n">
        <x:v>0.35141509433962265</x:v>
      </x:c>
      <x:c r="P22" t="str">
        <x:v>Existing</x:v>
      </x:c>
      <x:c r="Q22" t="str">
        <x:v>Online</x:v>
      </x:c>
      <x:c r="R22" s="140" t="n">
        <x:v>92900</x:v>
      </x:c>
      <x:c r="S22" s="142" t="n">
        <x:v>0.9584499461786867</x:v>
      </x:c>
      <x:c r="T22" s="142" t="n">
        <x:v>-0.030349385183549293</x:v>
      </x:c>
      <x:c r="U22" t="str">
        <x:v>Completed</x:v>
      </x:c>
      <x:c r="V22" s="142" t="n">
        <x:v>0.03</x:v>
      </x:c>
      <x:c r="W22" t="n">
        <x:v>3.5</x:v>
      </x:c>
    </x:row>
    <x:row r="23">
      <x:c r="A23" t="str">
        <x:v>ORD-10022</x:v>
      </x:c>
      <x:c r="B23" s="138" t="n">
        <x:v>46009</x:v>
      </x:c>
      <x:c r="C23" t="str">
        <x:v>Dec</x:v>
      </x:c>
      <x:c r="D23" t="str">
        <x:v>Q4</x:v>
      </x:c>
      <x:c r="E23" t="str">
        <x:v>East</x:v>
      </x:c>
      <x:c r="F23" t="str">
        <x:v>Patna</x:v>
      </x:c>
      <x:c r="G23" t="str">
        <x:v>Aarav Sen</x:v>
      </x:c>
      <x:c r="H23" t="str">
        <x:v>Home</x:v>
      </x:c>
      <x:c r="I23" t="str">
        <x:v>Vacuum Cleaner</x:v>
      </x:c>
      <x:c r="J23" t="n">
        <x:v>9</x:v>
      </x:c>
      <x:c r="K23" s="140" t="n">
        <x:v>11400</x:v>
      </x:c>
      <x:c r="L23" s="140" t="n">
        <x:v>102600</x:v>
      </x:c>
      <x:c r="M23" s="140" t="n">
        <x:v>63900</x:v>
      </x:c>
      <x:c r="N23" s="140" t="n">
        <x:v>38700</x:v>
      </x:c>
      <x:c r="O23" s="142" t="n">
        <x:v>0.37719298245614036</x:v>
      </x:c>
      <x:c r="P23" t="str">
        <x:v>New</x:v>
      </x:c>
      <x:c r="Q23" t="str">
        <x:v>Online</x:v>
      </x:c>
      <x:c r="R23" s="140" t="n">
        <x:v>120500</x:v>
      </x:c>
      <x:c r="S23" s="142" t="n">
        <x:v>0.8514522821576763</x:v>
      </x:c>
      <x:c r="T23" s="142" t="n">
        <x:v>-0.053370544031344974</x:v>
      </x:c>
      <x:c r="U23" t="str">
        <x:v>Completed</x:v>
      </x:c>
      <x:c r="V23" s="142" t="n">
        <x:v>0.03</x:v>
      </x:c>
      <x:c r="W23" t="n">
        <x:v>4.6</x:v>
      </x:c>
    </x:row>
    <x:row r="24">
      <x:c r="A24" t="str">
        <x:v>ORD-10023</x:v>
      </x:c>
      <x:c r="B24" s="138" t="n">
        <x:v>45756</x:v>
      </x:c>
      <x:c r="C24" t="str">
        <x:v>Apr</x:v>
      </x:c>
      <x:c r="D24" t="str">
        <x:v>Q2</x:v>
      </x:c>
      <x:c r="E24" t="str">
        <x:v>South</x:v>
      </x:c>
      <x:c r="F24" t="str">
        <x:v>Bengaluru</x:v>
      </x:c>
      <x:c r="G24" t="str">
        <x:v>Ananya Iyer</x:v>
      </x:c>
      <x:c r="H24" t="str">
        <x:v>Office</x:v>
      </x:c>
      <x:c r="I24" t="str">
        <x:v>Laser Printer</x:v>
      </x:c>
      <x:c r="J24" t="n">
        <x:v>4</x:v>
      </x:c>
      <x:c r="K24" s="140" t="n">
        <x:v>19740</x:v>
      </x:c>
      <x:c r="L24" s="140" t="n">
        <x:v>78960</x:v>
      </x:c>
      <x:c r="M24" s="140" t="n">
        <x:v>50400</x:v>
      </x:c>
      <x:c r="N24" s="140" t="n">
        <x:v>28560</x:v>
      </x:c>
      <x:c r="O24" s="142" t="n">
        <x:v>0.3617021276595745</x:v>
      </x:c>
      <x:c r="P24" t="str">
        <x:v>New</x:v>
      </x:c>
      <x:c r="Q24" t="str">
        <x:v>Offline</x:v>
      </x:c>
      <x:c r="R24" s="140" t="n">
        <x:v>75300</x:v>
      </x:c>
      <x:c r="S24" s="142" t="n">
        <x:v>1.0486055776892431</x:v>
      </x:c>
      <x:c r="T24" s="142" t="n">
        <x:v>-0.06188591396342459</x:v>
      </x:c>
      <x:c r="U24" t="str">
        <x:v>Completed</x:v>
      </x:c>
      <x:c r="V24" s="142" t="n">
        <x:v>0.03</x:v>
      </x:c>
      <x:c r="W24" t="n">
        <x:v>3.7</x:v>
      </x:c>
    </x:row>
    <x:row r="25">
      <x:c r="A25" t="str">
        <x:v>ORD-10024</x:v>
      </x:c>
      <x:c r="B25" s="138" t="n">
        <x:v>45994</x:v>
      </x:c>
      <x:c r="C25" t="str">
        <x:v>Dec</x:v>
      </x:c>
      <x:c r="D25" t="str">
        <x:v>Q4</x:v>
      </x:c>
      <x:c r="E25" t="str">
        <x:v>North</x:v>
      </x:c>
      <x:c r="F25" t="str">
        <x:v>Lucknow</x:v>
      </x:c>
      <x:c r="G25" t="str">
        <x:v>Arjun Malhotra</x:v>
      </x:c>
      <x:c r="H25" t="str">
        <x:v>Accessories</x:v>
      </x:c>
      <x:c r="I25" t="str">
        <x:v>Keyboard</x:v>
      </x:c>
      <x:c r="J25" t="n">
        <x:v>3</x:v>
      </x:c>
      <x:c r="K25" s="140" t="n">
        <x:v>3700</x:v>
      </x:c>
      <x:c r="L25" s="140" t="n">
        <x:v>11100</x:v>
      </x:c>
      <x:c r="M25" s="140" t="n">
        <x:v>5280</x:v>
      </x:c>
      <x:c r="N25" s="140" t="n">
        <x:v>5820</x:v>
      </x:c>
      <x:c r="O25" s="142" t="n">
        <x:v>0.5243243243243243</x:v>
      </x:c>
      <x:c r="P25" t="str">
        <x:v>Existing</x:v>
      </x:c>
      <x:c r="Q25" t="str">
        <x:v>Offline</x:v>
      </x:c>
      <x:c r="R25" s="140" t="n">
        <x:v>11400</x:v>
      </x:c>
      <x:c r="S25" s="142" t="n">
        <x:v>0.9736842105263158</x:v>
      </x:c>
      <x:c r="T25" s="142" t="n">
        <x:v>0.03984058512045949</x:v>
      </x:c>
      <x:c r="U25" t="str">
        <x:v>Completed</x:v>
      </x:c>
      <x:c r="V25" s="142" t="n">
        <x:v>0.03</x:v>
      </x:c>
      <x:c r="W25" t="n">
        <x:v>4.4</x:v>
      </x:c>
    </x:row>
    <x:row r="26">
      <x:c r="A26" t="str">
        <x:v>ORD-10025</x:v>
      </x:c>
      <x:c r="B26" s="138" t="n">
        <x:v>45799</x:v>
      </x:c>
      <x:c r="C26" t="str">
        <x:v>May</x:v>
      </x:c>
      <x:c r="D26" t="str">
        <x:v>Q2</x:v>
      </x:c>
      <x:c r="E26" t="str">
        <x:v>North</x:v>
      </x:c>
      <x:c r="F26" t="str">
        <x:v>Lucknow</x:v>
      </x:c>
      <x:c r="G26" t="str">
        <x:v>Neha Verma</x:v>
      </x:c>
      <x:c r="H26" t="str">
        <x:v>Office</x:v>
      </x:c>
      <x:c r="I26" t="str">
        <x:v>Ergonomic Chair</x:v>
      </x:c>
      <x:c r="J26" t="n">
        <x:v>5</x:v>
      </x:c>
      <x:c r="K26" s="140" t="n">
        <x:v>11370</x:v>
      </x:c>
      <x:c r="L26" s="140" t="n">
        <x:v>56850</x:v>
      </x:c>
      <x:c r="M26" s="140" t="n">
        <x:v>38000</x:v>
      </x:c>
      <x:c r="N26" s="140" t="n">
        <x:v>18850</x:v>
      </x:c>
      <x:c r="O26" s="142" t="n">
        <x:v>0.33157431838170626</x:v>
      </x:c>
      <x:c r="P26" t="str">
        <x:v>Existing</x:v>
      </x:c>
      <x:c r="Q26" t="str">
        <x:v>Offline</x:v>
      </x:c>
      <x:c r="R26" s="140" t="n">
        <x:v>56500</x:v>
      </x:c>
      <x:c r="S26" s="142" t="n">
        <x:v>1.0061946902654868</x:v>
      </x:c>
      <x:c r="T26" s="142" t="n">
        <x:v>0.000555767740580429</x:v>
      </x:c>
      <x:c r="U26" t="str">
        <x:v>Completed</x:v>
      </x:c>
      <x:c r="V26" s="142" t="n">
        <x:v>0.08</x:v>
      </x:c>
      <x:c r="W26" t="n">
        <x:v>4.1</x:v>
      </x:c>
    </x:row>
    <x:row r="27">
      <x:c r="A27" t="str">
        <x:v>ORD-10026</x:v>
      </x:c>
      <x:c r="B27" s="138" t="n">
        <x:v>45853</x:v>
      </x:c>
      <x:c r="C27" t="str">
        <x:v>Jul</x:v>
      </x:c>
      <x:c r="D27" t="str">
        <x:v>Q3</x:v>
      </x:c>
      <x:c r="E27" t="str">
        <x:v>North</x:v>
      </x:c>
      <x:c r="F27" t="str">
        <x:v>Lucknow</x:v>
      </x:c>
      <x:c r="G27" t="str">
        <x:v>Arjun Malhotra</x:v>
      </x:c>
      <x:c r="H27" t="str">
        <x:v>Home</x:v>
      </x:c>
      <x:c r="I27" t="str">
        <x:v>Microwave</x:v>
      </x:c>
      <x:c r="J27" t="n">
        <x:v>9</x:v>
      </x:c>
      <x:c r="K27" s="140" t="n">
        <x:v>12370</x:v>
      </x:c>
      <x:c r="L27" s="140" t="n">
        <x:v>111330</x:v>
      </x:c>
      <x:c r="M27" s="140" t="n">
        <x:v>74250</x:v>
      </x:c>
      <x:c r="N27" s="140" t="n">
        <x:v>37080</x:v>
      </x:c>
      <x:c r="O27" s="142" t="n">
        <x:v>0.3330638641875505</x:v>
      </x:c>
      <x:c r="P27" t="str">
        <x:v>Existing</x:v>
      </x:c>
      <x:c r="Q27" t="str">
        <x:v>Online</x:v>
      </x:c>
      <x:c r="R27" s="140" t="n">
        <x:v>122500</x:v>
      </x:c>
      <x:c r="S27" s="142" t="n">
        <x:v>0.9088163265306123</x:v>
      </x:c>
      <x:c r="T27" s="142" t="n">
        <x:v>0.11990765851337222</x:v>
      </x:c>
      <x:c r="U27" t="str">
        <x:v>Completed</x:v>
      </x:c>
      <x:c r="V27" s="142" t="n">
        <x:v>0.08</x:v>
      </x:c>
      <x:c r="W27" t="n">
        <x:v>3.6</x:v>
      </x:c>
    </x:row>
    <x:row r="28">
      <x:c r="A28" t="str">
        <x:v>ORD-10027</x:v>
      </x:c>
      <x:c r="B28" s="138" t="n">
        <x:v>46022</x:v>
      </x:c>
      <x:c r="C28" t="str">
        <x:v>Dec</x:v>
      </x:c>
      <x:c r="D28" t="str">
        <x:v>Q4</x:v>
      </x:c>
      <x:c r="E28" t="str">
        <x:v>East</x:v>
      </x:c>
      <x:c r="F28" t="str">
        <x:v>Patna</x:v>
      </x:c>
      <x:c r="G28" t="str">
        <x:v>Riya Das</x:v>
      </x:c>
      <x:c r="H28" t="str">
        <x:v>Electronics</x:v>
      </x:c>
      <x:c r="I28" t="str">
        <x:v>Tablet Plus</x:v>
      </x:c>
      <x:c r="J28" t="n">
        <x:v>13</x:v>
      </x:c>
      <x:c r="K28" s="140" t="n">
        <x:v>24960</x:v>
      </x:c>
      <x:c r="L28" s="140" t="n">
        <x:v>324480</x:v>
      </x:c>
      <x:c r="M28" s="140" t="n">
        <x:v>239200</x:v>
      </x:c>
      <x:c r="N28" s="140" t="n">
        <x:v>85280</x:v>
      </x:c>
      <x:c r="O28" s="142" t="n">
        <x:v>0.26282051282051283</x:v>
      </x:c>
      <x:c r="P28" t="str">
        <x:v>Existing</x:v>
      </x:c>
      <x:c r="Q28" t="str">
        <x:v>Offline</x:v>
      </x:c>
      <x:c r="R28" s="140" t="n">
        <x:v>375500</x:v>
      </x:c>
      <x:c r="S28" s="142" t="n">
        <x:v>0.8641278295605859</x:v>
      </x:c>
      <x:c r="T28" s="142" t="n">
        <x:v>-0.06287776563652975</x:v>
      </x:c>
      <x:c r="U28" t="str">
        <x:v>Completed</x:v>
      </x:c>
      <x:c r="V28" s="142" t="n">
        <x:v>0.05</x:v>
      </x:c>
      <x:c r="W28" t="n">
        <x:v>5</x:v>
      </x:c>
    </x:row>
    <x:row r="29">
      <x:c r="A29" t="str">
        <x:v>ORD-10028</x:v>
      </x:c>
      <x:c r="B29" s="138" t="n">
        <x:v>45874</x:v>
      </x:c>
      <x:c r="C29" t="str">
        <x:v>Aug</x:v>
      </x:c>
      <x:c r="D29" t="str">
        <x:v>Q3</x:v>
      </x:c>
      <x:c r="E29" t="str">
        <x:v>West</x:v>
      </x:c>
      <x:c r="F29" t="str">
        <x:v>Pune</x:v>
      </x:c>
      <x:c r="G29" t="str">
        <x:v>Kabir Shah</x:v>
      </x:c>
      <x:c r="H29" t="str">
        <x:v>Home</x:v>
      </x:c>
      <x:c r="I29" t="str">
        <x:v>Microwave</x:v>
      </x:c>
      <x:c r="J29" t="n">
        <x:v>11</x:v>
      </x:c>
      <x:c r="K29" s="140" t="n">
        <x:v>13420</x:v>
      </x:c>
      <x:c r="L29" s="140" t="n">
        <x:v>147620</x:v>
      </x:c>
      <x:c r="M29" s="140" t="n">
        <x:v>90750</x:v>
      </x:c>
      <x:c r="N29" s="140" t="n">
        <x:v>56870</x:v>
      </x:c>
      <x:c r="O29" s="142" t="n">
        <x:v>0.38524590163934425</x:v>
      </x:c>
      <x:c r="P29" t="str">
        <x:v>New</x:v>
      </x:c>
      <x:c r="Q29" t="str">
        <x:v>Online</x:v>
      </x:c>
      <x:c r="R29" s="140" t="n">
        <x:v>156600</x:v>
      </x:c>
      <x:c r="S29" s="142" t="n">
        <x:v>0.9426564495530013</x:v>
      </x:c>
      <x:c r="T29" s="142" t="n">
        <x:v>-0.011664296730912307</x:v>
      </x:c>
      <x:c r="U29" t="str">
        <x:v>Completed</x:v>
      </x:c>
      <x:c r="V29" s="142" t="n">
        <x:v>0</x:v>
      </x:c>
      <x:c r="W29" t="n">
        <x:v>4.8</x:v>
      </x:c>
    </x:row>
    <x:row r="30">
      <x:c r="A30" t="str">
        <x:v>ORD-10029</x:v>
      </x:c>
      <x:c r="B30" s="138" t="n">
        <x:v>45772</x:v>
      </x:c>
      <x:c r="C30" t="str">
        <x:v>Apr</x:v>
      </x:c>
      <x:c r="D30" t="str">
        <x:v>Q2</x:v>
      </x:c>
      <x:c r="E30" t="str">
        <x:v>East</x:v>
      </x:c>
      <x:c r="F30" t="str">
        <x:v>Kolkata</x:v>
      </x:c>
      <x:c r="G30" t="str">
        <x:v>Aarav Sen</x:v>
      </x:c>
      <x:c r="H30" t="str">
        <x:v>Electronics</x:v>
      </x:c>
      <x:c r="I30" t="str">
        <x:v>Tablet Plus</x:v>
      </x:c>
      <x:c r="J30" t="n">
        <x:v>7</x:v>
      </x:c>
      <x:c r="K30" s="140" t="n">
        <x:v>24780</x:v>
      </x:c>
      <x:c r="L30" s="140" t="n">
        <x:v>173460</x:v>
      </x:c>
      <x:c r="M30" s="140" t="n">
        <x:v>128800</x:v>
      </x:c>
      <x:c r="N30" s="140" t="n">
        <x:v>44660</x:v>
      </x:c>
      <x:c r="O30" s="142" t="n">
        <x:v>0.25746569814366427</x:v>
      </x:c>
      <x:c r="P30" t="str">
        <x:v>New</x:v>
      </x:c>
      <x:c r="Q30" t="str">
        <x:v>Offline</x:v>
      </x:c>
      <x:c r="R30" s="140" t="n">
        <x:v>175500</x:v>
      </x:c>
      <x:c r="S30" s="142" t="n">
        <x:v>0.9883760683760684</x:v>
      </x:c>
      <x:c r="T30" s="142" t="n">
        <x:v>0.04559123787631579</x:v>
      </x:c>
      <x:c r="U30" t="str">
        <x:v>Completed</x:v>
      </x:c>
      <x:c r="V30" s="142" t="n">
        <x:v>0.08</x:v>
      </x:c>
      <x:c r="W30" t="n">
        <x:v>3.7</x:v>
      </x:c>
    </x:row>
    <x:row r="31">
      <x:c r="A31" t="str">
        <x:v>ORD-10030</x:v>
      </x:c>
      <x:c r="B31" s="138" t="n">
        <x:v>45814</x:v>
      </x:c>
      <x:c r="C31" t="str">
        <x:v>Jun</x:v>
      </x:c>
      <x:c r="D31" t="str">
        <x:v>Q2</x:v>
      </x:c>
      <x:c r="E31" t="str">
        <x:v>East</x:v>
      </x:c>
      <x:c r="F31" t="str">
        <x:v>Bhubaneswar</x:v>
      </x:c>
      <x:c r="G31" t="str">
        <x:v>Riya Das</x:v>
      </x:c>
      <x:c r="H31" t="str">
        <x:v>Home</x:v>
      </x:c>
      <x:c r="I31" t="str">
        <x:v>Vacuum Cleaner</x:v>
      </x:c>
      <x:c r="J31" t="n">
        <x:v>9</x:v>
      </x:c>
      <x:c r="K31" s="140" t="n">
        <x:v>11170</x:v>
      </x:c>
      <x:c r="L31" s="140" t="n">
        <x:v>100530</x:v>
      </x:c>
      <x:c r="M31" s="140" t="n">
        <x:v>63900</x:v>
      </x:c>
      <x:c r="N31" s="140" t="n">
        <x:v>36630</x:v>
      </x:c>
      <x:c r="O31" s="142" t="n">
        <x:v>0.36436884512085943</x:v>
      </x:c>
      <x:c r="P31" t="str">
        <x:v>Existing</x:v>
      </x:c>
      <x:c r="Q31" t="str">
        <x:v>Offline</x:v>
      </x:c>
      <x:c r="R31" s="140" t="n">
        <x:v>108700</x:v>
      </x:c>
      <x:c r="S31" s="142" t="n">
        <x:v>0.9248390064397424</x:v>
      </x:c>
      <x:c r="T31" s="142" t="n">
        <x:v>0.1757261352636405</x:v>
      </x:c>
      <x:c r="U31" t="str">
        <x:v>Completed</x:v>
      </x:c>
      <x:c r="V31" s="142" t="n">
        <x:v>0.03</x:v>
      </x:c>
      <x:c r="W31" t="n">
        <x:v>3.8</x:v>
      </x:c>
    </x:row>
    <x:row r="32">
      <x:c r="A32" t="str">
        <x:v>ORD-10031</x:v>
      </x:c>
      <x:c r="B32" s="138" t="n">
        <x:v>45686</x:v>
      </x:c>
      <x:c r="C32" t="str">
        <x:v>Jan</x:v>
      </x:c>
      <x:c r="D32" t="str">
        <x:v>Q1</x:v>
      </x:c>
      <x:c r="E32" t="str">
        <x:v>West</x:v>
      </x:c>
      <x:c r="F32" t="str">
        <x:v>Ahmedabad</x:v>
      </x:c>
      <x:c r="G32" t="str">
        <x:v>Kabir Shah</x:v>
      </x:c>
      <x:c r="H32" t="str">
        <x:v>Home</x:v>
      </x:c>
      <x:c r="I32" t="str">
        <x:v>Air Purifier</x:v>
      </x:c>
      <x:c r="J32" t="n">
        <x:v>7</x:v>
      </x:c>
      <x:c r="K32" s="140" t="n">
        <x:v>15450</x:v>
      </x:c>
      <x:c r="L32" s="140" t="n">
        <x:v>108150</x:v>
      </x:c>
      <x:c r="M32" s="140" t="n">
        <x:v>72800</x:v>
      </x:c>
      <x:c r="N32" s="140" t="n">
        <x:v>35350</x:v>
      </x:c>
      <x:c r="O32" s="142" t="n">
        <x:v>0.3268608414239482</x:v>
      </x:c>
      <x:c r="P32" t="str">
        <x:v>New</x:v>
      </x:c>
      <x:c r="Q32" t="str">
        <x:v>Offline</x:v>
      </x:c>
      <x:c r="R32" s="140" t="n">
        <x:v>111200</x:v>
      </x:c>
      <x:c r="S32" s="142" t="n">
        <x:v>0.9725719424460432</x:v>
      </x:c>
      <x:c r="T32" s="142" t="n">
        <x:v>0.0029925947475449993</x:v>
      </x:c>
      <x:c r="U32" t="str">
        <x:v>Completed</x:v>
      </x:c>
      <x:c r="V32" s="142" t="n">
        <x:v>0.05</x:v>
      </x:c>
      <x:c r="W32" t="n">
        <x:v>4.4</x:v>
      </x:c>
    </x:row>
    <x:row r="33">
      <x:c r="A33" t="str">
        <x:v>ORD-10032</x:v>
      </x:c>
      <x:c r="B33" s="138" t="n">
        <x:v>45787</x:v>
      </x:c>
      <x:c r="C33" t="str">
        <x:v>May</x:v>
      </x:c>
      <x:c r="D33" t="str">
        <x:v>Q2</x:v>
      </x:c>
      <x:c r="E33" t="str">
        <x:v>East</x:v>
      </x:c>
      <x:c r="F33" t="str">
        <x:v>Kolkata</x:v>
      </x:c>
      <x:c r="G33" t="str">
        <x:v>Riya Das</x:v>
      </x:c>
      <x:c r="H33" t="str">
        <x:v>Electronics</x:v>
      </x:c>
      <x:c r="I33" t="str">
        <x:v>Laptop Pro</x:v>
      </x:c>
      <x:c r="J33" t="n">
        <x:v>7</x:v>
      </x:c>
      <x:c r="K33" s="140" t="n">
        <x:v>70040</x:v>
      </x:c>
      <x:c r="L33" s="140" t="n">
        <x:v>490280</x:v>
      </x:c>
      <x:c r="M33" s="140" t="n">
        <x:v>367500</x:v>
      </x:c>
      <x:c r="N33" s="140" t="n">
        <x:v>122780</x:v>
      </x:c>
      <x:c r="O33" s="142" t="n">
        <x:v>0.250428326670474</x:v>
      </x:c>
      <x:c r="P33" t="str">
        <x:v>Existing</x:v>
      </x:c>
      <x:c r="Q33" t="str">
        <x:v>Offline</x:v>
      </x:c>
      <x:c r="R33" s="140" t="n">
        <x:v>553300</x:v>
      </x:c>
      <x:c r="S33" s="142" t="n">
        <x:v>0.8861015723838785</x:v>
      </x:c>
      <x:c r="T33" s="142" t="n">
        <x:v>0.1828877391949394</x:v>
      </x:c>
      <x:c r="U33" t="str">
        <x:v>Completed</x:v>
      </x:c>
      <x:c r="V33" s="142" t="n">
        <x:v>0.05</x:v>
      </x:c>
      <x:c r="W33" t="n">
        <x:v>4.5</x:v>
      </x:c>
    </x:row>
    <x:row r="34">
      <x:c r="A34" t="str">
        <x:v>ORD-10033</x:v>
      </x:c>
      <x:c r="B34" s="138" t="n">
        <x:v>45742</x:v>
      </x:c>
      <x:c r="C34" t="str">
        <x:v>Mar</x:v>
      </x:c>
      <x:c r="D34" t="str">
        <x:v>Q1</x:v>
      </x:c>
      <x:c r="E34" t="str">
        <x:v>East</x:v>
      </x:c>
      <x:c r="F34" t="str">
        <x:v>Kolkata</x:v>
      </x:c>
      <x:c r="G34" t="str">
        <x:v>Aarav Sen</x:v>
      </x:c>
      <x:c r="H34" t="str">
        <x:v>Home</x:v>
      </x:c>
      <x:c r="I34" t="str">
        <x:v>Air Purifier</x:v>
      </x:c>
      <x:c r="J34" t="n">
        <x:v>11</x:v>
      </x:c>
      <x:c r="K34" s="140" t="n">
        <x:v>16410</x:v>
      </x:c>
      <x:c r="L34" s="140" t="n">
        <x:v>180510</x:v>
      </x:c>
      <x:c r="M34" s="140" t="n">
        <x:v>114400</x:v>
      </x:c>
      <x:c r="N34" s="140" t="n">
        <x:v>66110</x:v>
      </x:c>
      <x:c r="O34" s="142" t="n">
        <x:v>0.3662400975015235</x:v>
      </x:c>
      <x:c r="P34" t="str">
        <x:v>New</x:v>
      </x:c>
      <x:c r="Q34" t="str">
        <x:v>Offline</x:v>
      </x:c>
      <x:c r="R34" s="140" t="n">
        <x:v>202800</x:v>
      </x:c>
      <x:c r="S34" s="142" t="n">
        <x:v>0.8900887573964497</x:v>
      </x:c>
      <x:c r="T34" s="142" t="n">
        <x:v>0.012782511540331623</x:v>
      </x:c>
      <x:c r="U34" t="str">
        <x:v>Completed</x:v>
      </x:c>
      <x:c r="V34" s="142" t="n">
        <x:v>0</x:v>
      </x:c>
      <x:c r="W34" t="n">
        <x:v>4.6</x:v>
      </x:c>
    </x:row>
    <x:row r="35">
      <x:c r="A35" t="str">
        <x:v>ORD-10034</x:v>
      </x:c>
      <x:c r="B35" s="138" t="n">
        <x:v>45665</x:v>
      </x:c>
      <x:c r="C35" t="str">
        <x:v>Jan</x:v>
      </x:c>
      <x:c r="D35" t="str">
        <x:v>Q1</x:v>
      </x:c>
      <x:c r="E35" t="str">
        <x:v>East</x:v>
      </x:c>
      <x:c r="F35" t="str">
        <x:v>Patna</x:v>
      </x:c>
      <x:c r="G35" t="str">
        <x:v>Aarav Sen</x:v>
      </x:c>
      <x:c r="H35" t="str">
        <x:v>Accessories</x:v>
      </x:c>
      <x:c r="I35" t="str">
        <x:v>Keyboard</x:v>
      </x:c>
      <x:c r="J35" t="n">
        <x:v>12</x:v>
      </x:c>
      <x:c r="K35" s="140" t="n">
        <x:v>3710</x:v>
      </x:c>
      <x:c r="L35" s="140" t="n">
        <x:v>44520</x:v>
      </x:c>
      <x:c r="M35" s="140" t="n">
        <x:v>21120</x:v>
      </x:c>
      <x:c r="N35" s="140" t="n">
        <x:v>23400</x:v>
      </x:c>
      <x:c r="O35" s="142" t="n">
        <x:v>0.5256064690026954</x:v>
      </x:c>
      <x:c r="P35" t="str">
        <x:v>Existing</x:v>
      </x:c>
      <x:c r="Q35" t="str">
        <x:v>Offline</x:v>
      </x:c>
      <x:c r="R35" s="140" t="n">
        <x:v>45100</x:v>
      </x:c>
      <x:c r="S35" s="142" t="n">
        <x:v>0.987139689578714</x:v>
      </x:c>
      <x:c r="T35" s="142" t="n">
        <x:v>-0.06921932958683076</x:v>
      </x:c>
      <x:c r="U35" t="str">
        <x:v>Completed</x:v>
      </x:c>
      <x:c r="V35" s="142" t="n">
        <x:v>0.05</x:v>
      </x:c>
      <x:c r="W35" t="n">
        <x:v>4</x:v>
      </x:c>
    </x:row>
    <x:row r="36">
      <x:c r="A36" t="str">
        <x:v>ORD-10035</x:v>
      </x:c>
      <x:c r="B36" s="138" t="n">
        <x:v>45740</x:v>
      </x:c>
      <x:c r="C36" t="str">
        <x:v>Mar</x:v>
      </x:c>
      <x:c r="D36" t="str">
        <x:v>Q1</x:v>
      </x:c>
      <x:c r="E36" t="str">
        <x:v>North</x:v>
      </x:c>
      <x:c r="F36" t="str">
        <x:v>Lucknow</x:v>
      </x:c>
      <x:c r="G36" t="str">
        <x:v>Neha Verma</x:v>
      </x:c>
      <x:c r="H36" t="str">
        <x:v>Home</x:v>
      </x:c>
      <x:c r="I36" t="str">
        <x:v>Air Purifier</x:v>
      </x:c>
      <x:c r="J36" t="n">
        <x:v>4</x:v>
      </x:c>
      <x:c r="K36" s="140" t="n">
        <x:v>16930</x:v>
      </x:c>
      <x:c r="L36" s="140" t="n">
        <x:v>67720</x:v>
      </x:c>
      <x:c r="M36" s="140" t="n">
        <x:v>41600</x:v>
      </x:c>
      <x:c r="N36" s="140" t="n">
        <x:v>26120</x:v>
      </x:c>
      <x:c r="O36" s="142" t="n">
        <x:v>0.3857058476077968</x:v>
      </x:c>
      <x:c r="P36" t="str">
        <x:v>Existing</x:v>
      </x:c>
      <x:c r="Q36" t="str">
        <x:v>Online</x:v>
      </x:c>
      <x:c r="R36" s="140" t="n">
        <x:v>74900</x:v>
      </x:c>
      <x:c r="S36" s="142" t="n">
        <x:v>0.9041388518024032</x:v>
      </x:c>
      <x:c r="T36" s="142" t="n">
        <x:v>0.19550183835415452</x:v>
      </x:c>
      <x:c r="U36" t="str">
        <x:v>Pending</x:v>
      </x:c>
      <x:c r="V36" s="142" t="n">
        <x:v>0</x:v>
      </x:c>
      <x:c r="W36" t="n">
        <x:v>3.9</x:v>
      </x:c>
    </x:row>
    <x:row r="37">
      <x:c r="A37" t="str">
        <x:v>ORD-10036</x:v>
      </x:c>
      <x:c r="B37" s="138" t="n">
        <x:v>45671</x:v>
      </x:c>
      <x:c r="C37" t="str">
        <x:v>Jan</x:v>
      </x:c>
      <x:c r="D37" t="str">
        <x:v>Q1</x:v>
      </x:c>
      <x:c r="E37" t="str">
        <x:v>North</x:v>
      </x:c>
      <x:c r="F37" t="str">
        <x:v>Lucknow</x:v>
      </x:c>
      <x:c r="G37" t="str">
        <x:v>Neha Verma</x:v>
      </x:c>
      <x:c r="H37" t="str">
        <x:v>Office</x:v>
      </x:c>
      <x:c r="I37" t="str">
        <x:v>Laser Printer</x:v>
      </x:c>
      <x:c r="J37" t="n">
        <x:v>12</x:v>
      </x:c>
      <x:c r="K37" s="140" t="n">
        <x:v>20080</x:v>
      </x:c>
      <x:c r="L37" s="140" t="n">
        <x:v>240960</x:v>
      </x:c>
      <x:c r="M37" s="140" t="n">
        <x:v>151200</x:v>
      </x:c>
      <x:c r="N37" s="140" t="n">
        <x:v>89760</x:v>
      </x:c>
      <x:c r="O37" s="142" t="n">
        <x:v>0.37250996015936255</x:v>
      </x:c>
      <x:c r="P37" t="str">
        <x:v>New</x:v>
      </x:c>
      <x:c r="Q37" t="str">
        <x:v>Online</x:v>
      </x:c>
      <x:c r="R37" s="140" t="n">
        <x:v>227600</x:v>
      </x:c>
      <x:c r="S37" s="142" t="n">
        <x:v>1.0586994727592267</x:v>
      </x:c>
      <x:c r="T37" s="142" t="n">
        <x:v>-0.03421647153130435</x:v>
      </x:c>
      <x:c r="U37" t="str">
        <x:v>Completed</x:v>
      </x:c>
      <x:c r="V37" s="142" t="n">
        <x:v>0</x:v>
      </x:c>
      <x:c r="W37" t="n">
        <x:v>4.2</x:v>
      </x:c>
    </x:row>
    <x:row r="38">
      <x:c r="A38" t="str">
        <x:v>ORD-10037</x:v>
      </x:c>
      <x:c r="B38" s="138" t="n">
        <x:v>45937</x:v>
      </x:c>
      <x:c r="C38" t="str">
        <x:v>Oct</x:v>
      </x:c>
      <x:c r="D38" t="str">
        <x:v>Q4</x:v>
      </x:c>
      <x:c r="E38" t="str">
        <x:v>East</x:v>
      </x:c>
      <x:c r="F38" t="str">
        <x:v>Bhubaneswar</x:v>
      </x:c>
      <x:c r="G38" t="str">
        <x:v>Riya Das</x:v>
      </x:c>
      <x:c r="H38" t="str">
        <x:v>Office</x:v>
      </x:c>
      <x:c r="I38" t="str">
        <x:v>Ergonomic Chair</x:v>
      </x:c>
      <x:c r="J38" t="n">
        <x:v>3</x:v>
      </x:c>
      <x:c r="K38" s="140" t="n">
        <x:v>12640</x:v>
      </x:c>
      <x:c r="L38" s="140" t="n">
        <x:v>37920</x:v>
      </x:c>
      <x:c r="M38" s="140" t="n">
        <x:v>22800</x:v>
      </x:c>
      <x:c r="N38" s="140" t="n">
        <x:v>15120</x:v>
      </x:c>
      <x:c r="O38" s="142" t="n">
        <x:v>0.3987341772151899</x:v>
      </x:c>
      <x:c r="P38" t="str">
        <x:v>Existing</x:v>
      </x:c>
      <x:c r="Q38" t="str">
        <x:v>Offline</x:v>
      </x:c>
      <x:c r="R38" s="140" t="n">
        <x:v>41700</x:v>
      </x:c>
      <x:c r="S38" s="142" t="n">
        <x:v>0.9093525179856116</x:v>
      </x:c>
      <x:c r="T38" s="142" t="n">
        <x:v>-0.06449190662138364</x:v>
      </x:c>
      <x:c r="U38" t="str">
        <x:v>Pending</x:v>
      </x:c>
      <x:c r="V38" s="142" t="n">
        <x:v>0</x:v>
      </x:c>
      <x:c r="W38" t="n">
        <x:v>4.6</x:v>
      </x:c>
    </x:row>
    <x:row r="39">
      <x:c r="A39" t="str">
        <x:v>ORD-10038</x:v>
      </x:c>
      <x:c r="B39" s="138" t="n">
        <x:v>45675</x:v>
      </x:c>
      <x:c r="C39" t="str">
        <x:v>Jan</x:v>
      </x:c>
      <x:c r="D39" t="str">
        <x:v>Q1</x:v>
      </x:c>
      <x:c r="E39" t="str">
        <x:v>West</x:v>
      </x:c>
      <x:c r="F39" t="str">
        <x:v>Mumbai</x:v>
      </x:c>
      <x:c r="G39" t="str">
        <x:v>Meera Patel</x:v>
      </x:c>
      <x:c r="H39" t="str">
        <x:v>Home</x:v>
      </x:c>
      <x:c r="I39" t="str">
        <x:v>Microwave</x:v>
      </x:c>
      <x:c r="J39" t="n">
        <x:v>5</x:v>
      </x:c>
      <x:c r="K39" s="140" t="n">
        <x:v>12980</x:v>
      </x:c>
      <x:c r="L39" s="140" t="n">
        <x:v>64900</x:v>
      </x:c>
      <x:c r="M39" s="140" t="n">
        <x:v>41250</x:v>
      </x:c>
      <x:c r="N39" s="140" t="n">
        <x:v>23650</x:v>
      </x:c>
      <x:c r="O39" s="142" t="n">
        <x:v>0.3644067796610169</x:v>
      </x:c>
      <x:c r="P39" t="str">
        <x:v>New</x:v>
      </x:c>
      <x:c r="Q39" t="str">
        <x:v>Online</x:v>
      </x:c>
      <x:c r="R39" s="140" t="n">
        <x:v>59300</x:v>
      </x:c>
      <x:c r="S39" s="142" t="n">
        <x:v>1.0944350758853287</x:v>
      </x:c>
      <x:c r="T39" s="142" t="n">
        <x:v>0.04118073613590602</x:v>
      </x:c>
      <x:c r="U39" t="str">
        <x:v>Completed</x:v>
      </x:c>
      <x:c r="V39" s="142" t="n">
        <x:v>0.03</x:v>
      </x:c>
      <x:c r="W39" t="n">
        <x:v>4</x:v>
      </x:c>
    </x:row>
    <x:row r="40">
      <x:c r="A40" t="str">
        <x:v>ORD-10039</x:v>
      </x:c>
      <x:c r="B40" s="138" t="n">
        <x:v>45892</x:v>
      </x:c>
      <x:c r="C40" t="str">
        <x:v>Aug</x:v>
      </x:c>
      <x:c r="D40" t="str">
        <x:v>Q3</x:v>
      </x:c>
      <x:c r="E40" t="str">
        <x:v>East</x:v>
      </x:c>
      <x:c r="F40" t="str">
        <x:v>Kolkata</x:v>
      </x:c>
      <x:c r="G40" t="str">
        <x:v>Riya Das</x:v>
      </x:c>
      <x:c r="H40" t="str">
        <x:v>Accessories</x:v>
      </x:c>
      <x:c r="I40" t="str">
        <x:v>Headphones</x:v>
      </x:c>
      <x:c r="J40" t="n">
        <x:v>9</x:v>
      </x:c>
      <x:c r="K40" s="140" t="n">
        <x:v>5520</x:v>
      </x:c>
      <x:c r="L40" s="140" t="n">
        <x:v>49680</x:v>
      </x:c>
      <x:c r="M40" s="140" t="n">
        <x:v>26280</x:v>
      </x:c>
      <x:c r="N40" s="140" t="n">
        <x:v>23400</x:v>
      </x:c>
      <x:c r="O40" s="142" t="n">
        <x:v>0.47101449275362317</x:v>
      </x:c>
      <x:c r="P40" t="str">
        <x:v>New</x:v>
      </x:c>
      <x:c r="Q40" t="str">
        <x:v>Offline</x:v>
      </x:c>
      <x:c r="R40" s="140" t="n">
        <x:v>54000</x:v>
      </x:c>
      <x:c r="S40" s="142" t="n">
        <x:v>0.92</x:v>
      </x:c>
      <x:c r="T40" s="142" t="n">
        <x:v>-0.07846441667188084</x:v>
      </x:c>
      <x:c r="U40" t="str">
        <x:v>Completed</x:v>
      </x:c>
      <x:c r="V40" s="142" t="n">
        <x:v>0.03</x:v>
      </x:c>
      <x:c r="W40" t="n">
        <x:v>4.4</x:v>
      </x:c>
    </x:row>
    <x:row r="41">
      <x:c r="A41" t="str">
        <x:v>ORD-10040</x:v>
      </x:c>
      <x:c r="B41" s="138" t="n">
        <x:v>45858</x:v>
      </x:c>
      <x:c r="C41" t="str">
        <x:v>Jul</x:v>
      </x:c>
      <x:c r="D41" t="str">
        <x:v>Q3</x:v>
      </x:c>
      <x:c r="E41" t="str">
        <x:v>South</x:v>
      </x:c>
      <x:c r="F41" t="str">
        <x:v>Hyderabad</x:v>
      </x:c>
      <x:c r="G41" t="str">
        <x:v>Vikram Rao</x:v>
      </x:c>
      <x:c r="H41" t="str">
        <x:v>Electronics</x:v>
      </x:c>
      <x:c r="I41" t="str">
        <x:v>Smartphone X</x:v>
      </x:c>
      <x:c r="J41" t="n">
        <x:v>3</x:v>
      </x:c>
      <x:c r="K41" s="140" t="n">
        <x:v>30330</x:v>
      </x:c>
      <x:c r="L41" s="140" t="n">
        <x:v>90990</x:v>
      </x:c>
      <x:c r="M41" s="140" t="n">
        <x:v>68400</x:v>
      </x:c>
      <x:c r="N41" s="140" t="n">
        <x:v>22590</x:v>
      </x:c>
      <x:c r="O41" s="142" t="n">
        <x:v>0.24826904055390703</x:v>
      </x:c>
      <x:c r="P41" t="str">
        <x:v>Existing</x:v>
      </x:c>
      <x:c r="Q41" t="str">
        <x:v>Online</x:v>
      </x:c>
      <x:c r="R41" s="140" t="n">
        <x:v>101300</x:v>
      </x:c>
      <x:c r="S41" s="142" t="n">
        <x:v>0.89822309970385</x:v>
      </x:c>
      <x:c r="T41" s="142" t="n">
        <x:v>-0.05669337698508462</x:v>
      </x:c>
      <x:c r="U41" t="str">
        <x:v>Completed</x:v>
      </x:c>
      <x:c r="V41" s="142" t="n">
        <x:v>0.05</x:v>
      </x:c>
      <x:c r="W41" t="n">
        <x:v>4.8</x:v>
      </x:c>
    </x:row>
    <x:row r="42">
      <x:c r="A42" t="str">
        <x:v>ORD-10041</x:v>
      </x:c>
      <x:c r="B42" s="138" t="n">
        <x:v>45910</x:v>
      </x:c>
      <x:c r="C42" t="str">
        <x:v>Sep</x:v>
      </x:c>
      <x:c r="D42" t="str">
        <x:v>Q3</x:v>
      </x:c>
      <x:c r="E42" t="str">
        <x:v>South</x:v>
      </x:c>
      <x:c r="F42" t="str">
        <x:v>Hyderabad</x:v>
      </x:c>
      <x:c r="G42" t="str">
        <x:v>Ananya Iyer</x:v>
      </x:c>
      <x:c r="H42" t="str">
        <x:v>Electronics</x:v>
      </x:c>
      <x:c r="I42" t="str">
        <x:v>Smartphone X</x:v>
      </x:c>
      <x:c r="J42" t="n">
        <x:v>1</x:v>
      </x:c>
      <x:c r="K42" s="140" t="n">
        <x:v>28790</x:v>
      </x:c>
      <x:c r="L42" s="140" t="n">
        <x:v>28790</x:v>
      </x:c>
      <x:c r="M42" s="140" t="n">
        <x:v>22800</x:v>
      </x:c>
      <x:c r="N42" s="140" t="n">
        <x:v>5990</x:v>
      </x:c>
      <x:c r="O42" s="142" t="n">
        <x:v>0.20805835359499827</x:v>
      </x:c>
      <x:c r="P42" t="str">
        <x:v>Existing</x:v>
      </x:c>
      <x:c r="Q42" t="str">
        <x:v>Online</x:v>
      </x:c>
      <x:c r="R42" s="140" t="n">
        <x:v>27200</x:v>
      </x:c>
      <x:c r="S42" s="142" t="n">
        <x:v>1.058455882352941</x:v>
      </x:c>
      <x:c r="T42" s="142" t="n">
        <x:v>0.15984440126192162</x:v>
      </x:c>
      <x:c r="U42" t="str">
        <x:v>Completed</x:v>
      </x:c>
      <x:c r="V42" s="142" t="n">
        <x:v>0.08</x:v>
      </x:c>
      <x:c r="W42" t="n">
        <x:v>4.6</x:v>
      </x:c>
    </x:row>
    <x:row r="43">
      <x:c r="A43" t="str">
        <x:v>ORD-10042</x:v>
      </x:c>
      <x:c r="B43" s="138" t="n">
        <x:v>45666</x:v>
      </x:c>
      <x:c r="C43" t="str">
        <x:v>Jan</x:v>
      </x:c>
      <x:c r="D43" t="str">
        <x:v>Q1</x:v>
      </x:c>
      <x:c r="E43" t="str">
        <x:v>North</x:v>
      </x:c>
      <x:c r="F43" t="str">
        <x:v>Delhi</x:v>
      </x:c>
      <x:c r="G43" t="str">
        <x:v>Neha Verma</x:v>
      </x:c>
      <x:c r="H43" t="str">
        <x:v>Home</x:v>
      </x:c>
      <x:c r="I43" t="str">
        <x:v>Microwave</x:v>
      </x:c>
      <x:c r="J43" t="n">
        <x:v>5</x:v>
      </x:c>
      <x:c r="K43" s="140" t="n">
        <x:v>13120</x:v>
      </x:c>
      <x:c r="L43" s="140" t="n">
        <x:v>65600</x:v>
      </x:c>
      <x:c r="M43" s="140" t="n">
        <x:v>41250</x:v>
      </x:c>
      <x:c r="N43" s="140" t="n">
        <x:v>24350</x:v>
      </x:c>
      <x:c r="O43" s="142" t="n">
        <x:v>0.3711890243902439</x:v>
      </x:c>
      <x:c r="P43" t="str">
        <x:v>Existing</x:v>
      </x:c>
      <x:c r="Q43" t="str">
        <x:v>Online</x:v>
      </x:c>
      <x:c r="R43" s="140" t="n">
        <x:v>64800</x:v>
      </x:c>
      <x:c r="S43" s="142" t="n">
        <x:v>1.0123456790123457</x:v>
      </x:c>
      <x:c r="T43" s="142" t="n">
        <x:v>0.11040122952553237</x:v>
      </x:c>
      <x:c r="U43" t="str">
        <x:v>Completed</x:v>
      </x:c>
      <x:c r="V43" s="142" t="n">
        <x:v>0.05</x:v>
      </x:c>
      <x:c r="W43" t="n">
        <x:v>3.5</x:v>
      </x:c>
    </x:row>
    <x:row r="44">
      <x:c r="A44" t="str">
        <x:v>ORD-10043</x:v>
      </x:c>
      <x:c r="B44" s="138" t="n">
        <x:v>45938</x:v>
      </x:c>
      <x:c r="C44" t="str">
        <x:v>Oct</x:v>
      </x:c>
      <x:c r="D44" t="str">
        <x:v>Q4</x:v>
      </x:c>
      <x:c r="E44" t="str">
        <x:v>East</x:v>
      </x:c>
      <x:c r="F44" t="str">
        <x:v>Bhubaneswar</x:v>
      </x:c>
      <x:c r="G44" t="str">
        <x:v>Riya Das</x:v>
      </x:c>
      <x:c r="H44" t="str">
        <x:v>Electronics</x:v>
      </x:c>
      <x:c r="I44" t="str">
        <x:v>Laptop Pro</x:v>
      </x:c>
      <x:c r="J44" t="n">
        <x:v>2</x:v>
      </x:c>
      <x:c r="K44" s="140" t="n">
        <x:v>71540</x:v>
      </x:c>
      <x:c r="L44" s="140" t="n">
        <x:v>143080</x:v>
      </x:c>
      <x:c r="M44" s="140" t="n">
        <x:v>105000</x:v>
      </x:c>
      <x:c r="N44" s="140" t="n">
        <x:v>38080</x:v>
      </x:c>
      <x:c r="O44" s="142" t="n">
        <x:v>0.26614481409001955</x:v>
      </x:c>
      <x:c r="P44" t="str">
        <x:v>New</x:v>
      </x:c>
      <x:c r="Q44" t="str">
        <x:v>Offline</x:v>
      </x:c>
      <x:c r="R44" s="140" t="n">
        <x:v>166700</x:v>
      </x:c>
      <x:c r="S44" s="142" t="n">
        <x:v>0.8583083383323336</x:v>
      </x:c>
      <x:c r="T44" s="142" t="n">
        <x:v>-0.06490690039838018</x:v>
      </x:c>
      <x:c r="U44" t="str">
        <x:v>Completed</x:v>
      </x:c>
      <x:c r="V44" s="142" t="n">
        <x:v>0</x:v>
      </x:c>
      <x:c r="W44" t="n">
        <x:v>4.3</x:v>
      </x:c>
    </x:row>
    <x:row r="45">
      <x:c r="A45" t="str">
        <x:v>ORD-10044</x:v>
      </x:c>
      <x:c r="B45" s="138" t="n">
        <x:v>45923</x:v>
      </x:c>
      <x:c r="C45" t="str">
        <x:v>Sep</x:v>
      </x:c>
      <x:c r="D45" t="str">
        <x:v>Q3</x:v>
      </x:c>
      <x:c r="E45" t="str">
        <x:v>South</x:v>
      </x:c>
      <x:c r="F45" t="str">
        <x:v>Chennai</x:v>
      </x:c>
      <x:c r="G45" t="str">
        <x:v>Ananya Iyer</x:v>
      </x:c>
      <x:c r="H45" t="str">
        <x:v>Home</x:v>
      </x:c>
      <x:c r="I45" t="str">
        <x:v>Microwave</x:v>
      </x:c>
      <x:c r="J45" t="n">
        <x:v>10</x:v>
      </x:c>
      <x:c r="K45" s="140" t="n">
        <x:v>12950</x:v>
      </x:c>
      <x:c r="L45" s="140" t="n">
        <x:v>129500</x:v>
      </x:c>
      <x:c r="M45" s="140" t="n">
        <x:v>82500</x:v>
      </x:c>
      <x:c r="N45" s="140" t="n">
        <x:v>47000</x:v>
      </x:c>
      <x:c r="O45" s="142" t="n">
        <x:v>0.36293436293436293</x:v>
      </x:c>
      <x:c r="P45" t="str">
        <x:v>Existing</x:v>
      </x:c>
      <x:c r="Q45" t="str">
        <x:v>Online</x:v>
      </x:c>
      <x:c r="R45" s="140" t="n">
        <x:v>143600</x:v>
      </x:c>
      <x:c r="S45" s="142" t="n">
        <x:v>0.9018105849582173</x:v>
      </x:c>
      <x:c r="T45" s="142" t="n">
        <x:v>0.1541437538620053</x:v>
      </x:c>
      <x:c r="U45" t="str">
        <x:v>Completed</x:v>
      </x:c>
      <x:c r="V45" s="142" t="n">
        <x:v>0.05</x:v>
      </x:c>
      <x:c r="W45" t="n">
        <x:v>4.7</x:v>
      </x:c>
    </x:row>
    <x:row r="46">
      <x:c r="A46" t="str">
        <x:v>ORD-10045</x:v>
      </x:c>
      <x:c r="B46" s="138" t="n">
        <x:v>45911</x:v>
      </x:c>
      <x:c r="C46" t="str">
        <x:v>Sep</x:v>
      </x:c>
      <x:c r="D46" t="str">
        <x:v>Q3</x:v>
      </x:c>
      <x:c r="E46" t="str">
        <x:v>East</x:v>
      </x:c>
      <x:c r="F46" t="str">
        <x:v>Bhubaneswar</x:v>
      </x:c>
      <x:c r="G46" t="str">
        <x:v>Aarav Sen</x:v>
      </x:c>
      <x:c r="H46" t="str">
        <x:v>Home</x:v>
      </x:c>
      <x:c r="I46" t="str">
        <x:v>Microwave</x:v>
      </x:c>
      <x:c r="J46" t="n">
        <x:v>4</x:v>
      </x:c>
      <x:c r="K46" s="140" t="n">
        <x:v>13290</x:v>
      </x:c>
      <x:c r="L46" s="140" t="n">
        <x:v>53160</x:v>
      </x:c>
      <x:c r="M46" s="140" t="n">
        <x:v>33000</x:v>
      </x:c>
      <x:c r="N46" s="140" t="n">
        <x:v>20160</x:v>
      </x:c>
      <x:c r="O46" s="142" t="n">
        <x:v>0.3792325056433409</x:v>
      </x:c>
      <x:c r="P46" t="str">
        <x:v>Existing</x:v>
      </x:c>
      <x:c r="Q46" t="str">
        <x:v>Online</x:v>
      </x:c>
      <x:c r="R46" s="140" t="n">
        <x:v>62100</x:v>
      </x:c>
      <x:c r="S46" s="142" t="n">
        <x:v>0.8560386473429952</x:v>
      </x:c>
      <x:c r="T46" s="142" t="n">
        <x:v>-0.013649291821154694</x:v>
      </x:c>
      <x:c r="U46" t="str">
        <x:v>Completed</x:v>
      </x:c>
      <x:c r="V46" s="142" t="n">
        <x:v>0.03</x:v>
      </x:c>
      <x:c r="W46" t="n">
        <x:v>4</x:v>
      </x:c>
    </x:row>
    <x:row r="47">
      <x:c r="A47" t="str">
        <x:v>ORD-10046</x:v>
      </x:c>
      <x:c r="B47" s="138" t="n">
        <x:v>45672</x:v>
      </x:c>
      <x:c r="C47" t="str">
        <x:v>Jan</x:v>
      </x:c>
      <x:c r="D47" t="str">
        <x:v>Q1</x:v>
      </x:c>
      <x:c r="E47" t="str">
        <x:v>West</x:v>
      </x:c>
      <x:c r="F47" t="str">
        <x:v>Mumbai</x:v>
      </x:c>
      <x:c r="G47" t="str">
        <x:v>Meera Patel</x:v>
      </x:c>
      <x:c r="H47" t="str">
        <x:v>Office</x:v>
      </x:c>
      <x:c r="I47" t="str">
        <x:v>Ergonomic Chair</x:v>
      </x:c>
      <x:c r="J47" t="n">
        <x:v>12</x:v>
      </x:c>
      <x:c r="K47" s="140" t="n">
        <x:v>13080</x:v>
      </x:c>
      <x:c r="L47" s="140" t="n">
        <x:v>156960</x:v>
      </x:c>
      <x:c r="M47" s="140" t="n">
        <x:v>91200</x:v>
      </x:c>
      <x:c r="N47" s="140" t="n">
        <x:v>65760</x:v>
      </x:c>
      <x:c r="O47" s="142" t="n">
        <x:v>0.41896024464831805</x:v>
      </x:c>
      <x:c r="P47" t="str">
        <x:v>New</x:v>
      </x:c>
      <x:c r="Q47" t="str">
        <x:v>Offline</x:v>
      </x:c>
      <x:c r="R47" s="140" t="n">
        <x:v>143300</x:v>
      </x:c>
      <x:c r="S47" s="142" t="n">
        <x:v>1.095324494068388</x:v>
      </x:c>
      <x:c r="T47" s="142" t="n">
        <x:v>0.13636750018317956</x:v>
      </x:c>
      <x:c r="U47" t="str">
        <x:v>Completed</x:v>
      </x:c>
      <x:c r="V47" s="142" t="n">
        <x:v>0</x:v>
      </x:c>
      <x:c r="W47" t="n">
        <x:v>3.4</x:v>
      </x:c>
    </x:row>
    <x:row r="48">
      <x:c r="A48" t="str">
        <x:v>ORD-10047</x:v>
      </x:c>
      <x:c r="B48" s="138" t="n">
        <x:v>45795</x:v>
      </x:c>
      <x:c r="C48" t="str">
        <x:v>May</x:v>
      </x:c>
      <x:c r="D48" t="str">
        <x:v>Q2</x:v>
      </x:c>
      <x:c r="E48" t="str">
        <x:v>South</x:v>
      </x:c>
      <x:c r="F48" t="str">
        <x:v>Bengaluru</x:v>
      </x:c>
      <x:c r="G48" t="str">
        <x:v>Ananya Iyer</x:v>
      </x:c>
      <x:c r="H48" t="str">
        <x:v>Home</x:v>
      </x:c>
      <x:c r="I48" t="str">
        <x:v>Air Purifier</x:v>
      </x:c>
      <x:c r="J48" t="n">
        <x:v>15</x:v>
      </x:c>
      <x:c r="K48" s="140" t="n">
        <x:v>15760</x:v>
      </x:c>
      <x:c r="L48" s="140" t="n">
        <x:v>236400</x:v>
      </x:c>
      <x:c r="M48" s="140" t="n">
        <x:v>156000</x:v>
      </x:c>
      <x:c r="N48" s="140" t="n">
        <x:v>80400</x:v>
      </x:c>
      <x:c r="O48" s="142" t="n">
        <x:v>0.3401015228426396</x:v>
      </x:c>
      <x:c r="P48" t="str">
        <x:v>Existing</x:v>
      </x:c>
      <x:c r="Q48" t="str">
        <x:v>Online</x:v>
      </x:c>
      <x:c r="R48" s="140" t="n">
        <x:v>272400</x:v>
      </x:c>
      <x:c r="S48" s="142" t="n">
        <x:v>0.8678414096916299</x:v>
      </x:c>
      <x:c r="T48" s="142" t="n">
        <x:v>0.039265340889545516</x:v>
      </x:c>
      <x:c r="U48" t="str">
        <x:v>Completed</x:v>
      </x:c>
      <x:c r="V48" s="142" t="n">
        <x:v>0.08</x:v>
      </x:c>
      <x:c r="W48" t="n">
        <x:v>3.9</x:v>
      </x:c>
    </x:row>
    <x:row r="49">
      <x:c r="A49" t="str">
        <x:v>ORD-10048</x:v>
      </x:c>
      <x:c r="B49" s="138" t="n">
        <x:v>45711</x:v>
      </x:c>
      <x:c r="C49" t="str">
        <x:v>Feb</x:v>
      </x:c>
      <x:c r="D49" t="str">
        <x:v>Q1</x:v>
      </x:c>
      <x:c r="E49" t="str">
        <x:v>East</x:v>
      </x:c>
      <x:c r="F49" t="str">
        <x:v>Patna</x:v>
      </x:c>
      <x:c r="G49" t="str">
        <x:v>Riya Das</x:v>
      </x:c>
      <x:c r="H49" t="str">
        <x:v>Office</x:v>
      </x:c>
      <x:c r="I49" t="str">
        <x:v>Ergonomic Chair</x:v>
      </x:c>
      <x:c r="J49" t="n">
        <x:v>10</x:v>
      </x:c>
      <x:c r="K49" s="140" t="n">
        <x:v>12330</x:v>
      </x:c>
      <x:c r="L49" s="140" t="n">
        <x:v>123300</x:v>
      </x:c>
      <x:c r="M49" s="140" t="n">
        <x:v>76000</x:v>
      </x:c>
      <x:c r="N49" s="140" t="n">
        <x:v>47300</x:v>
      </x:c>
      <x:c r="O49" s="142" t="n">
        <x:v>0.38361719383617193</x:v>
      </x:c>
      <x:c r="P49" t="str">
        <x:v>New</x:v>
      </x:c>
      <x:c r="Q49" t="str">
        <x:v>Offline</x:v>
      </x:c>
      <x:c r="R49" s="140" t="n">
        <x:v>115500</x:v>
      </x:c>
      <x:c r="S49" s="142" t="n">
        <x:v>1.0675324675324676</x:v>
      </x:c>
      <x:c r="T49" s="142" t="n">
        <x:v>0.04458519306151147</x:v>
      </x:c>
      <x:c r="U49" t="str">
        <x:v>Completed</x:v>
      </x:c>
      <x:c r="V49" s="142" t="n">
        <x:v>0.03</x:v>
      </x:c>
      <x:c r="W49" t="n">
        <x:v>3.9</x:v>
      </x:c>
    </x:row>
    <x:row r="50">
      <x:c r="A50" t="str">
        <x:v>ORD-10049</x:v>
      </x:c>
      <x:c r="B50" s="138" t="n">
        <x:v>45871</x:v>
      </x:c>
      <x:c r="C50" t="str">
        <x:v>Aug</x:v>
      </x:c>
      <x:c r="D50" t="str">
        <x:v>Q3</x:v>
      </x:c>
      <x:c r="E50" t="str">
        <x:v>South</x:v>
      </x:c>
      <x:c r="F50" t="str">
        <x:v>Hyderabad</x:v>
      </x:c>
      <x:c r="G50" t="str">
        <x:v>Vikram Rao</x:v>
      </x:c>
      <x:c r="H50" t="str">
        <x:v>Accessories</x:v>
      </x:c>
      <x:c r="I50" t="str">
        <x:v>Keyboard</x:v>
      </x:c>
      <x:c r="J50" t="n">
        <x:v>16</x:v>
      </x:c>
      <x:c r="K50" s="140" t="n">
        <x:v>4040</x:v>
      </x:c>
      <x:c r="L50" s="140" t="n">
        <x:v>64640</x:v>
      </x:c>
      <x:c r="M50" s="140" t="n">
        <x:v>28160</x:v>
      </x:c>
      <x:c r="N50" s="140" t="n">
        <x:v>36480</x:v>
      </x:c>
      <x:c r="O50" s="142" t="n">
        <x:v>0.5643564356435643</x:v>
      </x:c>
      <x:c r="P50" t="str">
        <x:v>Existing</x:v>
      </x:c>
      <x:c r="Q50" t="str">
        <x:v>Online</x:v>
      </x:c>
      <x:c r="R50" s="140" t="n">
        <x:v>62100</x:v>
      </x:c>
      <x:c r="S50" s="142" t="n">
        <x:v>1.040901771336554</x:v>
      </x:c>
      <x:c r="T50" s="142" t="n">
        <x:v>-0.018863887279197696</x:v>
      </x:c>
      <x:c r="U50" t="str">
        <x:v>Pending</x:v>
      </x:c>
      <x:c r="V50" s="142" t="n">
        <x:v>0</x:v>
      </x:c>
      <x:c r="W50" t="n">
        <x:v>5</x:v>
      </x:c>
    </x:row>
    <x:row r="51">
      <x:c r="A51" t="str">
        <x:v>ORD-10050</x:v>
      </x:c>
      <x:c r="B51" s="138" t="n">
        <x:v>45793</x:v>
      </x:c>
      <x:c r="C51" t="str">
        <x:v>May</x:v>
      </x:c>
      <x:c r="D51" t="str">
        <x:v>Q2</x:v>
      </x:c>
      <x:c r="E51" t="str">
        <x:v>East</x:v>
      </x:c>
      <x:c r="F51" t="str">
        <x:v>Patna</x:v>
      </x:c>
      <x:c r="G51" t="str">
        <x:v>Aarav Sen</x:v>
      </x:c>
      <x:c r="H51" t="str">
        <x:v>Accessories</x:v>
      </x:c>
      <x:c r="I51" t="str">
        <x:v>Keyboard</x:v>
      </x:c>
      <x:c r="J51" t="n">
        <x:v>8</x:v>
      </x:c>
      <x:c r="K51" s="140" t="n">
        <x:v>3700</x:v>
      </x:c>
      <x:c r="L51" s="140" t="n">
        <x:v>29600</x:v>
      </x:c>
      <x:c r="M51" s="140" t="n">
        <x:v>14080</x:v>
      </x:c>
      <x:c r="N51" s="140" t="n">
        <x:v>15520</x:v>
      </x:c>
      <x:c r="O51" s="142" t="n">
        <x:v>0.5243243243243243</x:v>
      </x:c>
      <x:c r="P51" t="str">
        <x:v>Existing</x:v>
      </x:c>
      <x:c r="Q51" t="str">
        <x:v>Online</x:v>
      </x:c>
      <x:c r="R51" s="140" t="n">
        <x:v>27800</x:v>
      </x:c>
      <x:c r="S51" s="142" t="n">
        <x:v>1.064748201438849</x:v>
      </x:c>
      <x:c r="T51" s="142" t="n">
        <x:v>0.08677059511108491</x:v>
      </x:c>
      <x:c r="U51" t="str">
        <x:v>Completed</x:v>
      </x:c>
      <x:c r="V51" s="142" t="n">
        <x:v>0.03</x:v>
      </x:c>
      <x:c r="W51" t="n">
        <x:v>3.8</x:v>
      </x:c>
    </x:row>
    <x:row r="52">
      <x:c r="A52" t="str">
        <x:v>ORD-10051</x:v>
      </x:c>
      <x:c r="B52" s="138" t="n">
        <x:v>45847</x:v>
      </x:c>
      <x:c r="C52" t="str">
        <x:v>Jul</x:v>
      </x:c>
      <x:c r="D52" t="str">
        <x:v>Q3</x:v>
      </x:c>
      <x:c r="E52" t="str">
        <x:v>West</x:v>
      </x:c>
      <x:c r="F52" t="str">
        <x:v>Mumbai</x:v>
      </x:c>
      <x:c r="G52" t="str">
        <x:v>Meera Patel</x:v>
      </x:c>
      <x:c r="H52" t="str">
        <x:v>Home</x:v>
      </x:c>
      <x:c r="I52" t="str">
        <x:v>Vacuum Cleaner</x:v>
      </x:c>
      <x:c r="J52" t="n">
        <x:v>6</x:v>
      </x:c>
      <x:c r="K52" s="140" t="n">
        <x:v>12070</x:v>
      </x:c>
      <x:c r="L52" s="140" t="n">
        <x:v>72420</x:v>
      </x:c>
      <x:c r="M52" s="140" t="n">
        <x:v>42600</x:v>
      </x:c>
      <x:c r="N52" s="140" t="n">
        <x:v>29820</x:v>
      </x:c>
      <x:c r="O52" s="142" t="n">
        <x:v>0.4117647058823529</x:v>
      </x:c>
      <x:c r="P52" t="str">
        <x:v>Existing</x:v>
      </x:c>
      <x:c r="Q52" t="str">
        <x:v>Online</x:v>
      </x:c>
      <x:c r="R52" s="140" t="n">
        <x:v>67000</x:v>
      </x:c>
      <x:c r="S52" s="142" t="n">
        <x:v>1.0808955223880596</x:v>
      </x:c>
      <x:c r="T52" s="142" t="n">
        <x:v>0.07370722855011562</x:v>
      </x:c>
      <x:c r="U52" t="str">
        <x:v>Completed</x:v>
      </x:c>
      <x:c r="V52" s="142" t="n">
        <x:v>0</x:v>
      </x:c>
      <x:c r="W52" t="n">
        <x:v>3.6</x:v>
      </x:c>
    </x:row>
    <x:row r="53">
      <x:c r="A53" t="str">
        <x:v>ORD-10052</x:v>
      </x:c>
      <x:c r="B53" s="138" t="n">
        <x:v>45752</x:v>
      </x:c>
      <x:c r="C53" t="str">
        <x:v>Apr</x:v>
      </x:c>
      <x:c r="D53" t="str">
        <x:v>Q2</x:v>
      </x:c>
      <x:c r="E53" t="str">
        <x:v>North</x:v>
      </x:c>
      <x:c r="F53" t="str">
        <x:v>Jaipur</x:v>
      </x:c>
      <x:c r="G53" t="str">
        <x:v>Neha Verma</x:v>
      </x:c>
      <x:c r="H53" t="str">
        <x:v>Accessories</x:v>
      </x:c>
      <x:c r="I53" t="str">
        <x:v>Keyboard</x:v>
      </x:c>
      <x:c r="J53" t="n">
        <x:v>1</x:v>
      </x:c>
      <x:c r="K53" s="140" t="n">
        <x:v>3820</x:v>
      </x:c>
      <x:c r="L53" s="140" t="n">
        <x:v>3820</x:v>
      </x:c>
      <x:c r="M53" s="140" t="n">
        <x:v>1760</x:v>
      </x:c>
      <x:c r="N53" s="140" t="n">
        <x:v>2060</x:v>
      </x:c>
      <x:c r="O53" s="142" t="n">
        <x:v>0.5392670157068062</x:v>
      </x:c>
      <x:c r="P53" t="str">
        <x:v>New</x:v>
      </x:c>
      <x:c r="Q53" t="str">
        <x:v>Online</x:v>
      </x:c>
      <x:c r="R53" s="140" t="n">
        <x:v>3600</x:v>
      </x:c>
      <x:c r="S53" s="142" t="n">
        <x:v>1.0611111111111111</x:v>
      </x:c>
      <x:c r="T53" s="142" t="n">
        <x:v>0.028995379532057983</x:v>
      </x:c>
      <x:c r="U53" t="str">
        <x:v>Completed</x:v>
      </x:c>
      <x:c r="V53" s="142" t="n">
        <x:v>0.05</x:v>
      </x:c>
      <x:c r="W53" t="n">
        <x:v>3.9</x:v>
      </x:c>
    </x:row>
    <x:row r="54">
      <x:c r="A54" t="str">
        <x:v>ORD-10053</x:v>
      </x:c>
      <x:c r="B54" s="138" t="n">
        <x:v>45742</x:v>
      </x:c>
      <x:c r="C54" t="str">
        <x:v>Mar</x:v>
      </x:c>
      <x:c r="D54" t="str">
        <x:v>Q1</x:v>
      </x:c>
      <x:c r="E54" t="str">
        <x:v>South</x:v>
      </x:c>
      <x:c r="F54" t="str">
        <x:v>Bengaluru</x:v>
      </x:c>
      <x:c r="G54" t="str">
        <x:v>Ananya Iyer</x:v>
      </x:c>
      <x:c r="H54" t="str">
        <x:v>Home</x:v>
      </x:c>
      <x:c r="I54" t="str">
        <x:v>Air Purifier</x:v>
      </x:c>
      <x:c r="J54" t="n">
        <x:v>8</x:v>
      </x:c>
      <x:c r="K54" s="140" t="n">
        <x:v>16250</x:v>
      </x:c>
      <x:c r="L54" s="140" t="n">
        <x:v>130000</x:v>
      </x:c>
      <x:c r="M54" s="140" t="n">
        <x:v>83200</x:v>
      </x:c>
      <x:c r="N54" s="140" t="n">
        <x:v>46800</x:v>
      </x:c>
      <x:c r="O54" s="142" t="n">
        <x:v>0.36</x:v>
      </x:c>
      <x:c r="P54" t="str">
        <x:v>Existing</x:v>
      </x:c>
      <x:c r="Q54" t="str">
        <x:v>Online</x:v>
      </x:c>
      <x:c r="R54" s="140" t="n">
        <x:v>128000</x:v>
      </x:c>
      <x:c r="S54" s="142" t="n">
        <x:v>1.015625</x:v>
      </x:c>
      <x:c r="T54" s="142" t="n">
        <x:v>0.17218715575463905</x:v>
      </x:c>
      <x:c r="U54" t="str">
        <x:v>Completed</x:v>
      </x:c>
      <x:c r="V54" s="142" t="n">
        <x:v>0</x:v>
      </x:c>
      <x:c r="W54" t="n">
        <x:v>4.6</x:v>
      </x:c>
    </x:row>
    <x:row r="55">
      <x:c r="A55" t="str">
        <x:v>ORD-10054</x:v>
      </x:c>
      <x:c r="B55" s="138" t="n">
        <x:v>45793</x:v>
      </x:c>
      <x:c r="C55" t="str">
        <x:v>May</x:v>
      </x:c>
      <x:c r="D55" t="str">
        <x:v>Q2</x:v>
      </x:c>
      <x:c r="E55" t="str">
        <x:v>West</x:v>
      </x:c>
      <x:c r="F55" t="str">
        <x:v>Mumbai</x:v>
      </x:c>
      <x:c r="G55" t="str">
        <x:v>Meera Patel</x:v>
      </x:c>
      <x:c r="H55" t="str">
        <x:v>Home</x:v>
      </x:c>
      <x:c r="I55" t="str">
        <x:v>Vacuum Cleaner</x:v>
      </x:c>
      <x:c r="J55" t="n">
        <x:v>14</x:v>
      </x:c>
      <x:c r="K55" s="140" t="n">
        <x:v>10710</x:v>
      </x:c>
      <x:c r="L55" s="140" t="n">
        <x:v>149940</x:v>
      </x:c>
      <x:c r="M55" s="140" t="n">
        <x:v>99400</x:v>
      </x:c>
      <x:c r="N55" s="140" t="n">
        <x:v>50540</x:v>
      </x:c>
      <x:c r="O55" s="142" t="n">
        <x:v>0.3370681605975724</x:v>
      </x:c>
      <x:c r="P55" t="str">
        <x:v>New</x:v>
      </x:c>
      <x:c r="Q55" t="str">
        <x:v>Offline</x:v>
      </x:c>
      <x:c r="R55" s="140" t="n">
        <x:v>176200</x:v>
      </x:c>
      <x:c r="S55" s="142" t="n">
        <x:v>0.8509648127128263</x:v>
      </x:c>
      <x:c r="T55" s="142" t="n">
        <x:v>-0.056327132776426356</x:v>
      </x:c>
      <x:c r="U55" t="str">
        <x:v>Completed</x:v>
      </x:c>
      <x:c r="V55" s="142" t="n">
        <x:v>0.08</x:v>
      </x:c>
      <x:c r="W55" t="n">
        <x:v>4.8</x:v>
      </x:c>
    </x:row>
    <x:row r="56">
      <x:c r="A56" t="str">
        <x:v>ORD-10055</x:v>
      </x:c>
      <x:c r="B56" s="138" t="n">
        <x:v>45827</x:v>
      </x:c>
      <x:c r="C56" t="str">
        <x:v>Jun</x:v>
      </x:c>
      <x:c r="D56" t="str">
        <x:v>Q2</x:v>
      </x:c>
      <x:c r="E56" t="str">
        <x:v>East</x:v>
      </x:c>
      <x:c r="F56" t="str">
        <x:v>Patna</x:v>
      </x:c>
      <x:c r="G56" t="str">
        <x:v>Aarav Sen</x:v>
      </x:c>
      <x:c r="H56" t="str">
        <x:v>Electronics</x:v>
      </x:c>
      <x:c r="I56" t="str">
        <x:v>Smartphone X</x:v>
      </x:c>
      <x:c r="J56" t="n">
        <x:v>1</x:v>
      </x:c>
      <x:c r="K56" s="140" t="n">
        <x:v>33280</x:v>
      </x:c>
      <x:c r="L56" s="140" t="n">
        <x:v>33280</x:v>
      </x:c>
      <x:c r="M56" s="140" t="n">
        <x:v>22800</x:v>
      </x:c>
      <x:c r="N56" s="140" t="n">
        <x:v>10480</x:v>
      </x:c>
      <x:c r="O56" s="142" t="n">
        <x:v>0.31490384615384615</x:v>
      </x:c>
      <x:c r="P56" t="str">
        <x:v>New</x:v>
      </x:c>
      <x:c r="Q56" t="str">
        <x:v>Offline</x:v>
      </x:c>
      <x:c r="R56" s="140" t="n">
        <x:v>31000</x:v>
      </x:c>
      <x:c r="S56" s="142" t="n">
        <x:v>1.0735483870967741</x:v>
      </x:c>
      <x:c r="T56" s="142" t="n">
        <x:v>0.008182114403306878</x:v>
      </x:c>
      <x:c r="U56" t="str">
        <x:v>Completed</x:v>
      </x:c>
      <x:c r="V56" s="142" t="n">
        <x:v>0</x:v>
      </x:c>
      <x:c r="W56" t="n">
        <x:v>3.7</x:v>
      </x:c>
    </x:row>
    <x:row r="57">
      <x:c r="A57" t="str">
        <x:v>ORD-10056</x:v>
      </x:c>
      <x:c r="B57" s="138" t="n">
        <x:v>45933</x:v>
      </x:c>
      <x:c r="C57" t="str">
        <x:v>Oct</x:v>
      </x:c>
      <x:c r="D57" t="str">
        <x:v>Q4</x:v>
      </x:c>
      <x:c r="E57" t="str">
        <x:v>East</x:v>
      </x:c>
      <x:c r="F57" t="str">
        <x:v>Patna</x:v>
      </x:c>
      <x:c r="G57" t="str">
        <x:v>Aarav Sen</x:v>
      </x:c>
      <x:c r="H57" t="str">
        <x:v>Accessories</x:v>
      </x:c>
      <x:c r="I57" t="str">
        <x:v>Headphones</x:v>
      </x:c>
      <x:c r="J57" t="n">
        <x:v>7</x:v>
      </x:c>
      <x:c r="K57" s="140" t="n">
        <x:v>5470</x:v>
      </x:c>
      <x:c r="L57" s="140" t="n">
        <x:v>38290</x:v>
      </x:c>
      <x:c r="M57" s="140" t="n">
        <x:v>20440</x:v>
      </x:c>
      <x:c r="N57" s="140" t="n">
        <x:v>17850</x:v>
      </x:c>
      <x:c r="O57" s="142" t="n">
        <x:v>0.46617915904936014</x:v>
      </x:c>
      <x:c r="P57" t="str">
        <x:v>New</x:v>
      </x:c>
      <x:c r="Q57" t="str">
        <x:v>Online</x:v>
      </x:c>
      <x:c r="R57" s="140" t="n">
        <x:v>40900</x:v>
      </x:c>
      <x:c r="S57" s="142" t="n">
        <x:v>0.9361858190709046</x:v>
      </x:c>
      <x:c r="T57" s="142" t="n">
        <x:v>0.14379765848914572</x:v>
      </x:c>
      <x:c r="U57" t="str">
        <x:v>Completed</x:v>
      </x:c>
      <x:c r="V57" s="142" t="n">
        <x:v>0.05</x:v>
      </x:c>
      <x:c r="W57" t="n">
        <x:v>3.8</x:v>
      </x:c>
    </x:row>
    <x:row r="58">
      <x:c r="A58" t="str">
        <x:v>ORD-10057</x:v>
      </x:c>
      <x:c r="B58" s="138" t="n">
        <x:v>45935</x:v>
      </x:c>
      <x:c r="C58" t="str">
        <x:v>Oct</x:v>
      </x:c>
      <x:c r="D58" t="str">
        <x:v>Q4</x:v>
      </x:c>
      <x:c r="E58" t="str">
        <x:v>East</x:v>
      </x:c>
      <x:c r="F58" t="str">
        <x:v>Bhubaneswar</x:v>
      </x:c>
      <x:c r="G58" t="str">
        <x:v>Riya Das</x:v>
      </x:c>
      <x:c r="H58" t="str">
        <x:v>Accessories</x:v>
      </x:c>
      <x:c r="I58" t="str">
        <x:v>Wireless Mouse</x:v>
      </x:c>
      <x:c r="J58" t="n">
        <x:v>15</x:v>
      </x:c>
      <x:c r="K58" s="140" t="n">
        <x:v>2090</x:v>
      </x:c>
      <x:c r="L58" s="140" t="n">
        <x:v>31350</x:v>
      </x:c>
      <x:c r="M58" s="140" t="n">
        <x:v>13950</x:v>
      </x:c>
      <x:c r="N58" s="140" t="n">
        <x:v>17400</x:v>
      </x:c>
      <x:c r="O58" s="142" t="n">
        <x:v>0.5550239234449761</x:v>
      </x:c>
      <x:c r="P58" t="str">
        <x:v>Existing</x:v>
      </x:c>
      <x:c r="Q58" t="str">
        <x:v>Online</x:v>
      </x:c>
      <x:c r="R58" s="140" t="n">
        <x:v>35000</x:v>
      </x:c>
      <x:c r="S58" s="142" t="n">
        <x:v>0.8957142857142857</x:v>
      </x:c>
      <x:c r="T58" s="142" t="n">
        <x:v>0.09227212389698995</x:v>
      </x:c>
      <x:c r="U58" t="str">
        <x:v>Completed</x:v>
      </x:c>
      <x:c r="V58" s="142" t="n">
        <x:v>0</x:v>
      </x:c>
      <x:c r="W58" t="n">
        <x:v>4</x:v>
      </x:c>
    </x:row>
    <x:row r="59">
      <x:c r="A59" t="str">
        <x:v>ORD-10058</x:v>
      </x:c>
      <x:c r="B59" s="138" t="n">
        <x:v>45986</x:v>
      </x:c>
      <x:c r="C59" t="str">
        <x:v>Nov</x:v>
      </x:c>
      <x:c r="D59" t="str">
        <x:v>Q4</x:v>
      </x:c>
      <x:c r="E59" t="str">
        <x:v>South</x:v>
      </x:c>
      <x:c r="F59" t="str">
        <x:v>Hyderabad</x:v>
      </x:c>
      <x:c r="G59" t="str">
        <x:v>Vikram Rao</x:v>
      </x:c>
      <x:c r="H59" t="str">
        <x:v>Home</x:v>
      </x:c>
      <x:c r="I59" t="str">
        <x:v>Microwave</x:v>
      </x:c>
      <x:c r="J59" t="n">
        <x:v>16</x:v>
      </x:c>
      <x:c r="K59" s="140" t="n">
        <x:v>13030</x:v>
      </x:c>
      <x:c r="L59" s="140" t="n">
        <x:v>208480</x:v>
      </x:c>
      <x:c r="M59" s="140" t="n">
        <x:v>132000</x:v>
      </x:c>
      <x:c r="N59" s="140" t="n">
        <x:v>76480</x:v>
      </x:c>
      <x:c r="O59" s="142" t="n">
        <x:v>0.3668457405986186</x:v>
      </x:c>
      <x:c r="P59" t="str">
        <x:v>New</x:v>
      </x:c>
      <x:c r="Q59" t="str">
        <x:v>Offline</x:v>
      </x:c>
      <x:c r="R59" s="140" t="n">
        <x:v>216800</x:v>
      </x:c>
      <x:c r="S59" s="142" t="n">
        <x:v>0.9616236162361623</x:v>
      </x:c>
      <x:c r="T59" s="142" t="n">
        <x:v>0.057131383954352896</x:v>
      </x:c>
      <x:c r="U59" t="str">
        <x:v>Completed</x:v>
      </x:c>
      <x:c r="V59" s="142" t="n">
        <x:v>0.05</x:v>
      </x:c>
      <x:c r="W59" t="n">
        <x:v>4.5</x:v>
      </x:c>
    </x:row>
    <x:row r="60">
      <x:c r="A60" t="str">
        <x:v>ORD-10059</x:v>
      </x:c>
      <x:c r="B60" s="138" t="n">
        <x:v>45855</x:v>
      </x:c>
      <x:c r="C60" t="str">
        <x:v>Jul</x:v>
      </x:c>
      <x:c r="D60" t="str">
        <x:v>Q3</x:v>
      </x:c>
      <x:c r="E60" t="str">
        <x:v>East</x:v>
      </x:c>
      <x:c r="F60" t="str">
        <x:v>Bhubaneswar</x:v>
      </x:c>
      <x:c r="G60" t="str">
        <x:v>Riya Das</x:v>
      </x:c>
      <x:c r="H60" t="str">
        <x:v>Office</x:v>
      </x:c>
      <x:c r="I60" t="str">
        <x:v>Laser Printer</x:v>
      </x:c>
      <x:c r="J60" t="n">
        <x:v>3</x:v>
      </x:c>
      <x:c r="K60" s="140" t="n">
        <x:v>17420</x:v>
      </x:c>
      <x:c r="L60" s="140" t="n">
        <x:v>52260</x:v>
      </x:c>
      <x:c r="M60" s="140" t="n">
        <x:v>37800</x:v>
      </x:c>
      <x:c r="N60" s="140" t="n">
        <x:v>14460</x:v>
      </x:c>
      <x:c r="O60" s="142" t="n">
        <x:v>0.2766934557979334</x:v>
      </x:c>
      <x:c r="P60" t="str">
        <x:v>Existing</x:v>
      </x:c>
      <x:c r="Q60" t="str">
        <x:v>Offline</x:v>
      </x:c>
      <x:c r="R60" s="140" t="n">
        <x:v>61400</x:v>
      </x:c>
      <x:c r="S60" s="142" t="n">
        <x:v>0.8511400651465798</x:v>
      </x:c>
      <x:c r="T60" s="142" t="n">
        <x:v>0.031471623841174134</x:v>
      </x:c>
      <x:c r="U60" t="str">
        <x:v>Completed</x:v>
      </x:c>
      <x:c r="V60" s="142" t="n">
        <x:v>0.08</x:v>
      </x:c>
      <x:c r="W60" t="n">
        <x:v>4.3</x:v>
      </x:c>
    </x:row>
    <x:row r="61">
      <x:c r="A61" t="str">
        <x:v>ORD-10060</x:v>
      </x:c>
      <x:c r="B61" s="138" t="n">
        <x:v>46018</x:v>
      </x:c>
      <x:c r="C61" t="str">
        <x:v>Dec</x:v>
      </x:c>
      <x:c r="D61" t="str">
        <x:v>Q4</x:v>
      </x:c>
      <x:c r="E61" t="str">
        <x:v>East</x:v>
      </x:c>
      <x:c r="F61" t="str">
        <x:v>Kolkata</x:v>
      </x:c>
      <x:c r="G61" t="str">
        <x:v>Aarav Sen</x:v>
      </x:c>
      <x:c r="H61" t="str">
        <x:v>Home</x:v>
      </x:c>
      <x:c r="I61" t="str">
        <x:v>Vacuum Cleaner</x:v>
      </x:c>
      <x:c r="J61" t="n">
        <x:v>16</x:v>
      </x:c>
      <x:c r="K61" s="140" t="n">
        <x:v>11260</x:v>
      </x:c>
      <x:c r="L61" s="140" t="n">
        <x:v>180160</x:v>
      </x:c>
      <x:c r="M61" s="140" t="n">
        <x:v>113600</x:v>
      </x:c>
      <x:c r="N61" s="140" t="n">
        <x:v>66560</x:v>
      </x:c>
      <x:c r="O61" s="142" t="n">
        <x:v>0.369449378330373</x:v>
      </x:c>
      <x:c r="P61" t="str">
        <x:v>Existing</x:v>
      </x:c>
      <x:c r="Q61" t="str">
        <x:v>Offline</x:v>
      </x:c>
      <x:c r="R61" s="140" t="n">
        <x:v>187000</x:v>
      </x:c>
      <x:c r="S61" s="142" t="n">
        <x:v>0.9634224598930481</x:v>
      </x:c>
      <x:c r="T61" s="142" t="n">
        <x:v>-0.04243775409502753</x:v>
      </x:c>
      <x:c r="U61" t="str">
        <x:v>Completed</x:v>
      </x:c>
      <x:c r="V61" s="142" t="n">
        <x:v>0.05</x:v>
      </x:c>
      <x:c r="W61" t="n">
        <x:v>4.4</x:v>
      </x:c>
    </x:row>
    <x:row r="62">
      <x:c r="A62" t="str">
        <x:v>ORD-10061</x:v>
      </x:c>
      <x:c r="B62" s="138" t="n">
        <x:v>45959</x:v>
      </x:c>
      <x:c r="C62" t="str">
        <x:v>Oct</x:v>
      </x:c>
      <x:c r="D62" t="str">
        <x:v>Q4</x:v>
      </x:c>
      <x:c r="E62" t="str">
        <x:v>South</x:v>
      </x:c>
      <x:c r="F62" t="str">
        <x:v>Hyderabad</x:v>
      </x:c>
      <x:c r="G62" t="str">
        <x:v>Ananya Iyer</x:v>
      </x:c>
      <x:c r="H62" t="str">
        <x:v>Electronics</x:v>
      </x:c>
      <x:c r="I62" t="str">
        <x:v>Smartphone X</x:v>
      </x:c>
      <x:c r="J62" t="n">
        <x:v>11</x:v>
      </x:c>
      <x:c r="K62" s="140" t="n">
        <x:v>32500</x:v>
      </x:c>
      <x:c r="L62" s="140" t="n">
        <x:v>357500</x:v>
      </x:c>
      <x:c r="M62" s="140" t="n">
        <x:v>250800</x:v>
      </x:c>
      <x:c r="N62" s="140" t="n">
        <x:v>106700</x:v>
      </x:c>
      <x:c r="O62" s="142" t="n">
        <x:v>0.29846153846153844</x:v>
      </x:c>
      <x:c r="P62" t="str">
        <x:v>New</x:v>
      </x:c>
      <x:c r="Q62" t="str">
        <x:v>Offline</x:v>
      </x:c>
      <x:c r="R62" s="140" t="n">
        <x:v>380000</x:v>
      </x:c>
      <x:c r="S62" s="142" t="n">
        <x:v>0.9407894736842105</x:v>
      </x:c>
      <x:c r="T62" s="142" t="n">
        <x:v>-0.03414937824675973</x:v>
      </x:c>
      <x:c r="U62" t="str">
        <x:v>Completed</x:v>
      </x:c>
      <x:c r="V62" s="142" t="n">
        <x:v>0.03</x:v>
      </x:c>
      <x:c r="W62" t="n">
        <x:v>4.8</x:v>
      </x:c>
    </x:row>
    <x:row r="63">
      <x:c r="A63" t="str">
        <x:v>ORD-10062</x:v>
      </x:c>
      <x:c r="B63" s="138" t="n">
        <x:v>45736</x:v>
      </x:c>
      <x:c r="C63" t="str">
        <x:v>Mar</x:v>
      </x:c>
      <x:c r="D63" t="str">
        <x:v>Q1</x:v>
      </x:c>
      <x:c r="E63" t="str">
        <x:v>East</x:v>
      </x:c>
      <x:c r="F63" t="str">
        <x:v>Bhubaneswar</x:v>
      </x:c>
      <x:c r="G63" t="str">
        <x:v>Aarav Sen</x:v>
      </x:c>
      <x:c r="H63" t="str">
        <x:v>Office</x:v>
      </x:c>
      <x:c r="I63" t="str">
        <x:v>Standing Desk</x:v>
      </x:c>
      <x:c r="J63" t="n">
        <x:v>3</x:v>
      </x:c>
      <x:c r="K63" s="140" t="n">
        <x:v>20190</x:v>
      </x:c>
      <x:c r="L63" s="140" t="n">
        <x:v>60570</x:v>
      </x:c>
      <x:c r="M63" s="140" t="n">
        <x:v>41700</x:v>
      </x:c>
      <x:c r="N63" s="140" t="n">
        <x:v>18870</x:v>
      </x:c>
      <x:c r="O63" s="142" t="n">
        <x:v>0.31154036651807826</x:v>
      </x:c>
      <x:c r="P63" t="str">
        <x:v>Existing</x:v>
      </x:c>
      <x:c r="Q63" t="str">
        <x:v>Offline</x:v>
      </x:c>
      <x:c r="R63" s="140" t="n">
        <x:v>57000</x:v>
      </x:c>
      <x:c r="S63" s="142" t="n">
        <x:v>1.0626315789473684</x:v>
      </x:c>
      <x:c r="T63" s="142" t="n">
        <x:v>-0.04890240597199215</x:v>
      </x:c>
      <x:c r="U63" t="str">
        <x:v>Completed</x:v>
      </x:c>
      <x:c r="V63" s="142" t="n">
        <x:v>0.08</x:v>
      </x:c>
      <x:c r="W63" t="n">
        <x:v>3.4</x:v>
      </x:c>
    </x:row>
    <x:row r="64">
      <x:c r="A64" t="str">
        <x:v>ORD-10063</x:v>
      </x:c>
      <x:c r="B64" s="138" t="n">
        <x:v>45740</x:v>
      </x:c>
      <x:c r="C64" t="str">
        <x:v>Mar</x:v>
      </x:c>
      <x:c r="D64" t="str">
        <x:v>Q1</x:v>
      </x:c>
      <x:c r="E64" t="str">
        <x:v>East</x:v>
      </x:c>
      <x:c r="F64" t="str">
        <x:v>Bhubaneswar</x:v>
      </x:c>
      <x:c r="G64" t="str">
        <x:v>Riya Das</x:v>
      </x:c>
      <x:c r="H64" t="str">
        <x:v>Electronics</x:v>
      </x:c>
      <x:c r="I64" t="str">
        <x:v>Smartphone X</x:v>
      </x:c>
      <x:c r="J64" t="n">
        <x:v>7</x:v>
      </x:c>
      <x:c r="K64" s="140" t="n">
        <x:v>29550</x:v>
      </x:c>
      <x:c r="L64" s="140" t="n">
        <x:v>206850</x:v>
      </x:c>
      <x:c r="M64" s="140" t="n">
        <x:v>159600</x:v>
      </x:c>
      <x:c r="N64" s="140" t="n">
        <x:v>47250</x:v>
      </x:c>
      <x:c r="O64" s="142" t="n">
        <x:v>0.22842639593908629</x:v>
      </x:c>
      <x:c r="P64" t="str">
        <x:v>New</x:v>
      </x:c>
      <x:c r="Q64" t="str">
        <x:v>Online</x:v>
      </x:c>
      <x:c r="R64" s="140" t="n">
        <x:v>226600</x:v>
      </x:c>
      <x:c r="S64" s="142" t="n">
        <x:v>0.9128420123565755</x:v>
      </x:c>
      <x:c r="T64" s="142" t="n">
        <x:v>0.15480672843014193</x:v>
      </x:c>
      <x:c r="U64" t="str">
        <x:v>Completed</x:v>
      </x:c>
      <x:c r="V64" s="142" t="n">
        <x:v>0.08</x:v>
      </x:c>
      <x:c r="W64" t="n">
        <x:v>3.6</x:v>
      </x:c>
    </x:row>
    <x:row r="65">
      <x:c r="A65" t="str">
        <x:v>ORD-10064</x:v>
      </x:c>
      <x:c r="B65" s="138" t="n">
        <x:v>45876</x:v>
      </x:c>
      <x:c r="C65" t="str">
        <x:v>Aug</x:v>
      </x:c>
      <x:c r="D65" t="str">
        <x:v>Q3</x:v>
      </x:c>
      <x:c r="E65" t="str">
        <x:v>East</x:v>
      </x:c>
      <x:c r="F65" t="str">
        <x:v>Kolkata</x:v>
      </x:c>
      <x:c r="G65" t="str">
        <x:v>Riya Das</x:v>
      </x:c>
      <x:c r="H65" t="str">
        <x:v>Accessories</x:v>
      </x:c>
      <x:c r="I65" t="str">
        <x:v>Wireless Mouse</x:v>
      </x:c>
      <x:c r="J65" t="n">
        <x:v>5</x:v>
      </x:c>
      <x:c r="K65" s="140" t="n">
        <x:v>2100</x:v>
      </x:c>
      <x:c r="L65" s="140" t="n">
        <x:v>10500</x:v>
      </x:c>
      <x:c r="M65" s="140" t="n">
        <x:v>4650</x:v>
      </x:c>
      <x:c r="N65" s="140" t="n">
        <x:v>5850</x:v>
      </x:c>
      <x:c r="O65" s="142" t="n">
        <x:v>0.5571428571428572</x:v>
      </x:c>
      <x:c r="P65" t="str">
        <x:v>Existing</x:v>
      </x:c>
      <x:c r="Q65" t="str">
        <x:v>Online</x:v>
      </x:c>
      <x:c r="R65" s="140" t="n">
        <x:v>9600</x:v>
      </x:c>
      <x:c r="S65" s="142" t="n">
        <x:v>1.09375</x:v>
      </x:c>
      <x:c r="T65" s="142" t="n">
        <x:v>-0.03698784374622513</x:v>
      </x:c>
      <x:c r="U65" t="str">
        <x:v>Pending</x:v>
      </x:c>
      <x:c r="V65" s="142" t="n">
        <x:v>0.03</x:v>
      </x:c>
      <x:c r="W65" t="n">
        <x:v>4</x:v>
      </x:c>
    </x:row>
    <x:row r="66">
      <x:c r="A66" t="str">
        <x:v>ORD-10065</x:v>
      </x:c>
      <x:c r="B66" s="138" t="n">
        <x:v>45745</x:v>
      </x:c>
      <x:c r="C66" t="str">
        <x:v>Mar</x:v>
      </x:c>
      <x:c r="D66" t="str">
        <x:v>Q1</x:v>
      </x:c>
      <x:c r="E66" t="str">
        <x:v>West</x:v>
      </x:c>
      <x:c r="F66" t="str">
        <x:v>Ahmedabad</x:v>
      </x:c>
      <x:c r="G66" t="str">
        <x:v>Meera Patel</x:v>
      </x:c>
      <x:c r="H66" t="str">
        <x:v>Accessories</x:v>
      </x:c>
      <x:c r="I66" t="str">
        <x:v>Keyboard</x:v>
      </x:c>
      <x:c r="J66" t="n">
        <x:v>16</x:v>
      </x:c>
      <x:c r="K66" s="140" t="n">
        <x:v>3610</x:v>
      </x:c>
      <x:c r="L66" s="140" t="n">
        <x:v>57760</x:v>
      </x:c>
      <x:c r="M66" s="140" t="n">
        <x:v>28160</x:v>
      </x:c>
      <x:c r="N66" s="140" t="n">
        <x:v>29600</x:v>
      </x:c>
      <x:c r="O66" s="142" t="n">
        <x:v>0.5124653739612188</x:v>
      </x:c>
      <x:c r="P66" t="str">
        <x:v>New</x:v>
      </x:c>
      <x:c r="Q66" t="str">
        <x:v>Online</x:v>
      </x:c>
      <x:c r="R66" s="140" t="n">
        <x:v>58000</x:v>
      </x:c>
      <x:c r="S66" s="142" t="n">
        <x:v>0.9958620689655172</x:v>
      </x:c>
      <x:c r="T66" s="142" t="n">
        <x:v>0.027596123653114202</x:v>
      </x:c>
      <x:c r="U66" t="str">
        <x:v>Completed</x:v>
      </x:c>
      <x:c r="V66" s="142" t="n">
        <x:v>0.08</x:v>
      </x:c>
      <x:c r="W66" t="n">
        <x:v>3.9</x:v>
      </x:c>
    </x:row>
    <x:row r="67">
      <x:c r="A67" t="str">
        <x:v>ORD-10066</x:v>
      </x:c>
      <x:c r="B67" s="138" t="n">
        <x:v>45851</x:v>
      </x:c>
      <x:c r="C67" t="str">
        <x:v>Jul</x:v>
      </x:c>
      <x:c r="D67" t="str">
        <x:v>Q3</x:v>
      </x:c>
      <x:c r="E67" t="str">
        <x:v>South</x:v>
      </x:c>
      <x:c r="F67" t="str">
        <x:v>Bengaluru</x:v>
      </x:c>
      <x:c r="G67" t="str">
        <x:v>Ananya Iyer</x:v>
      </x:c>
      <x:c r="H67" t="str">
        <x:v>Home</x:v>
      </x:c>
      <x:c r="I67" t="str">
        <x:v>Microwave</x:v>
      </x:c>
      <x:c r="J67" t="n">
        <x:v>16</x:v>
      </x:c>
      <x:c r="K67" s="140" t="n">
        <x:v>13540</x:v>
      </x:c>
      <x:c r="L67" s="140" t="n">
        <x:v>216640</x:v>
      </x:c>
      <x:c r="M67" s="140" t="n">
        <x:v>132000</x:v>
      </x:c>
      <x:c r="N67" s="140" t="n">
        <x:v>84640</x:v>
      </x:c>
      <x:c r="O67" s="142" t="n">
        <x:v>0.3906942392909897</x:v>
      </x:c>
      <x:c r="P67" t="str">
        <x:v>Existing</x:v>
      </x:c>
      <x:c r="Q67" t="str">
        <x:v>Online</x:v>
      </x:c>
      <x:c r="R67" s="140" t="n">
        <x:v>239600</x:v>
      </x:c>
      <x:c r="S67" s="142" t="n">
        <x:v>0.9041736227045075</x:v>
      </x:c>
      <x:c r="T67" s="142" t="n">
        <x:v>0.06332397285422063</x:v>
      </x:c>
      <x:c r="U67" t="str">
        <x:v>Completed</x:v>
      </x:c>
      <x:c r="V67" s="142" t="n">
        <x:v>0</x:v>
      </x:c>
      <x:c r="W67" t="n">
        <x:v>4.2</x:v>
      </x:c>
    </x:row>
    <x:row r="68">
      <x:c r="A68" t="str">
        <x:v>ORD-10067</x:v>
      </x:c>
      <x:c r="B68" s="138" t="n">
        <x:v>45719</x:v>
      </x:c>
      <x:c r="C68" t="str">
        <x:v>Mar</x:v>
      </x:c>
      <x:c r="D68" t="str">
        <x:v>Q1</x:v>
      </x:c>
      <x:c r="E68" t="str">
        <x:v>North</x:v>
      </x:c>
      <x:c r="F68" t="str">
        <x:v>Lucknow</x:v>
      </x:c>
      <x:c r="G68" t="str">
        <x:v>Neha Verma</x:v>
      </x:c>
      <x:c r="H68" t="str">
        <x:v>Accessories</x:v>
      </x:c>
      <x:c r="I68" t="str">
        <x:v>Keyboard</x:v>
      </x:c>
      <x:c r="J68" t="n">
        <x:v>16</x:v>
      </x:c>
      <x:c r="K68" s="140" t="n">
        <x:v>3940</x:v>
      </x:c>
      <x:c r="L68" s="140" t="n">
        <x:v>63040</x:v>
      </x:c>
      <x:c r="M68" s="140" t="n">
        <x:v>28160</x:v>
      </x:c>
      <x:c r="N68" s="140" t="n">
        <x:v>34880</x:v>
      </x:c>
      <x:c r="O68" s="142" t="n">
        <x:v>0.5532994923857868</x:v>
      </x:c>
      <x:c r="P68" t="str">
        <x:v>New</x:v>
      </x:c>
      <x:c r="Q68" t="str">
        <x:v>Offline</x:v>
      </x:c>
      <x:c r="R68" s="140" t="n">
        <x:v>63700</x:v>
      </x:c>
      <x:c r="S68" s="142" t="n">
        <x:v>0.9896389324960754</x:v>
      </x:c>
      <x:c r="T68" s="142" t="n">
        <x:v>-0.011101616667727188</x:v>
      </x:c>
      <x:c r="U68" t="str">
        <x:v>Completed</x:v>
      </x:c>
      <x:c r="V68" s="142" t="n">
        <x:v>0.03</x:v>
      </x:c>
      <x:c r="W68" t="n">
        <x:v>4.3</x:v>
      </x:c>
    </x:row>
    <x:row r="69">
      <x:c r="A69" t="str">
        <x:v>ORD-10068</x:v>
      </x:c>
      <x:c r="B69" s="138" t="n">
        <x:v>45764</x:v>
      </x:c>
      <x:c r="C69" t="str">
        <x:v>Apr</x:v>
      </x:c>
      <x:c r="D69" t="str">
        <x:v>Q2</x:v>
      </x:c>
      <x:c r="E69" t="str">
        <x:v>North</x:v>
      </x:c>
      <x:c r="F69" t="str">
        <x:v>Jaipur</x:v>
      </x:c>
      <x:c r="G69" t="str">
        <x:v>Arjun Malhotra</x:v>
      </x:c>
      <x:c r="H69" t="str">
        <x:v>Accessories</x:v>
      </x:c>
      <x:c r="I69" t="str">
        <x:v>Headphones</x:v>
      </x:c>
      <x:c r="J69" t="n">
        <x:v>12</x:v>
      </x:c>
      <x:c r="K69" s="140" t="n">
        <x:v>5290</x:v>
      </x:c>
      <x:c r="L69" s="140" t="n">
        <x:v>63480</x:v>
      </x:c>
      <x:c r="M69" s="140" t="n">
        <x:v>35040</x:v>
      </x:c>
      <x:c r="N69" s="140" t="n">
        <x:v>28440</x:v>
      </x:c>
      <x:c r="O69" s="142" t="n">
        <x:v>0.44801512287334594</x:v>
      </x:c>
      <x:c r="P69" t="str">
        <x:v>Existing</x:v>
      </x:c>
      <x:c r="Q69" t="str">
        <x:v>Online</x:v>
      </x:c>
      <x:c r="R69" s="140" t="n">
        <x:v>60600</x:v>
      </x:c>
      <x:c r="S69" s="142" t="n">
        <x:v>1.0475247524752476</x:v>
      </x:c>
      <x:c r="T69" s="142" t="n">
        <x:v>0.1751709506363608</x:v>
      </x:c>
      <x:c r="U69" t="str">
        <x:v>Completed</x:v>
      </x:c>
      <x:c r="V69" s="142" t="n">
        <x:v>0.08</x:v>
      </x:c>
      <x:c r="W69" t="n">
        <x:v>3.9</x:v>
      </x:c>
    </x:row>
    <x:row r="70">
      <x:c r="A70" t="str">
        <x:v>ORD-10069</x:v>
      </x:c>
      <x:c r="B70" s="138" t="n">
        <x:v>45663</x:v>
      </x:c>
      <x:c r="C70" t="str">
        <x:v>Jan</x:v>
      </x:c>
      <x:c r="D70" t="str">
        <x:v>Q1</x:v>
      </x:c>
      <x:c r="E70" t="str">
        <x:v>East</x:v>
      </x:c>
      <x:c r="F70" t="str">
        <x:v>Kolkata</x:v>
      </x:c>
      <x:c r="G70" t="str">
        <x:v>Aarav Sen</x:v>
      </x:c>
      <x:c r="H70" t="str">
        <x:v>Accessories</x:v>
      </x:c>
      <x:c r="I70" t="str">
        <x:v>Keyboard</x:v>
      </x:c>
      <x:c r="J70" t="n">
        <x:v>1</x:v>
      </x:c>
      <x:c r="K70" s="140" t="n">
        <x:v>3650</x:v>
      </x:c>
      <x:c r="L70" s="140" t="n">
        <x:v>3650</x:v>
      </x:c>
      <x:c r="M70" s="140" t="n">
        <x:v>1760</x:v>
      </x:c>
      <x:c r="N70" s="140" t="n">
        <x:v>1890</x:v>
      </x:c>
      <x:c r="O70" s="142" t="n">
        <x:v>0.5178082191780822</x:v>
      </x:c>
      <x:c r="P70" t="str">
        <x:v>Existing</x:v>
      </x:c>
      <x:c r="Q70" t="str">
        <x:v>Offline</x:v>
      </x:c>
      <x:c r="R70" s="140" t="n">
        <x:v>3600</x:v>
      </x:c>
      <x:c r="S70" s="142" t="n">
        <x:v>1.0138888888888888</x:v>
      </x:c>
      <x:c r="T70" s="142" t="n">
        <x:v>0.07801794648722153</x:v>
      </x:c>
      <x:c r="U70" t="str">
        <x:v>Completed</x:v>
      </x:c>
      <x:c r="V70" s="142" t="n">
        <x:v>0.08</x:v>
      </x:c>
      <x:c r="W70" t="n">
        <x:v>4</x:v>
      </x:c>
    </x:row>
    <x:row r="71">
      <x:c r="A71" t="str">
        <x:v>ORD-10070</x:v>
      </x:c>
      <x:c r="B71" s="138" t="n">
        <x:v>45680</x:v>
      </x:c>
      <x:c r="C71" t="str">
        <x:v>Jan</x:v>
      </x:c>
      <x:c r="D71" t="str">
        <x:v>Q1</x:v>
      </x:c>
      <x:c r="E71" t="str">
        <x:v>East</x:v>
      </x:c>
      <x:c r="F71" t="str">
        <x:v>Patna</x:v>
      </x:c>
      <x:c r="G71" t="str">
        <x:v>Aarav Sen</x:v>
      </x:c>
      <x:c r="H71" t="str">
        <x:v>Electronics</x:v>
      </x:c>
      <x:c r="I71" t="str">
        <x:v>Laptop Pro</x:v>
      </x:c>
      <x:c r="J71" t="n">
        <x:v>7</x:v>
      </x:c>
      <x:c r="K71" s="140" t="n">
        <x:v>72670</x:v>
      </x:c>
      <x:c r="L71" s="140" t="n">
        <x:v>508690</x:v>
      </x:c>
      <x:c r="M71" s="140" t="n">
        <x:v>367500</x:v>
      </x:c>
      <x:c r="N71" s="140" t="n">
        <x:v>141190</x:v>
      </x:c>
      <x:c r="O71" s="142" t="n">
        <x:v>0.2775560754093849</x:v>
      </x:c>
      <x:c r="P71" t="str">
        <x:v>Existing</x:v>
      </x:c>
      <x:c r="Q71" t="str">
        <x:v>Offline</x:v>
      </x:c>
      <x:c r="R71" s="140" t="n">
        <x:v>546900</x:v>
      </x:c>
      <x:c r="S71" s="142" t="n">
        <x:v>0.9301334796123606</x:v>
      </x:c>
      <x:c r="T71" s="142" t="n">
        <x:v>-0.07743150104351351</x:v>
      </x:c>
      <x:c r="U71" t="str">
        <x:v>Completed</x:v>
      </x:c>
      <x:c r="V71" s="142" t="n">
        <x:v>0</x:v>
      </x:c>
      <x:c r="W71" t="n">
        <x:v>3.9</x:v>
      </x:c>
    </x:row>
    <x:row r="72">
      <x:c r="A72" t="str">
        <x:v>ORD-10071</x:v>
      </x:c>
      <x:c r="B72" s="138" t="n">
        <x:v>45862</x:v>
      </x:c>
      <x:c r="C72" t="str">
        <x:v>Jul</x:v>
      </x:c>
      <x:c r="D72" t="str">
        <x:v>Q3</x:v>
      </x:c>
      <x:c r="E72" t="str">
        <x:v>West</x:v>
      </x:c>
      <x:c r="F72" t="str">
        <x:v>Ahmedabad</x:v>
      </x:c>
      <x:c r="G72" t="str">
        <x:v>Kabir Shah</x:v>
      </x:c>
      <x:c r="H72" t="str">
        <x:v>Accessories</x:v>
      </x:c>
      <x:c r="I72" t="str">
        <x:v>Headphones</x:v>
      </x:c>
      <x:c r="J72" t="n">
        <x:v>4</x:v>
      </x:c>
      <x:c r="K72" s="140" t="n">
        <x:v>5740</x:v>
      </x:c>
      <x:c r="L72" s="140" t="n">
        <x:v>22960</x:v>
      </x:c>
      <x:c r="M72" s="140" t="n">
        <x:v>11680</x:v>
      </x:c>
      <x:c r="N72" s="140" t="n">
        <x:v>11280</x:v>
      </x:c>
      <x:c r="O72" s="142" t="n">
        <x:v>0.4912891986062718</x:v>
      </x:c>
      <x:c r="P72" t="str">
        <x:v>New</x:v>
      </x:c>
      <x:c r="Q72" t="str">
        <x:v>Offline</x:v>
      </x:c>
      <x:c r="R72" s="140" t="n">
        <x:v>26000</x:v>
      </x:c>
      <x:c r="S72" s="142" t="n">
        <x:v>0.8830769230769231</x:v>
      </x:c>
      <x:c r="T72" s="142" t="n">
        <x:v>0.18499628959902015</x:v>
      </x:c>
      <x:c r="U72" t="str">
        <x:v>Completed</x:v>
      </x:c>
      <x:c r="V72" s="142" t="n">
        <x:v>0.03</x:v>
      </x:c>
      <x:c r="W72" t="n">
        <x:v>3.8</x:v>
      </x:c>
    </x:row>
    <x:row r="73">
      <x:c r="A73" t="str">
        <x:v>ORD-10072</x:v>
      </x:c>
      <x:c r="B73" s="138" t="n">
        <x:v>45698</x:v>
      </x:c>
      <x:c r="C73" t="str">
        <x:v>Feb</x:v>
      </x:c>
      <x:c r="D73" t="str">
        <x:v>Q1</x:v>
      </x:c>
      <x:c r="E73" t="str">
        <x:v>South</x:v>
      </x:c>
      <x:c r="F73" t="str">
        <x:v>Chennai</x:v>
      </x:c>
      <x:c r="G73" t="str">
        <x:v>Ananya Iyer</x:v>
      </x:c>
      <x:c r="H73" t="str">
        <x:v>Accessories</x:v>
      </x:c>
      <x:c r="I73" t="str">
        <x:v>Keyboard</x:v>
      </x:c>
      <x:c r="J73" t="n">
        <x:v>5</x:v>
      </x:c>
      <x:c r="K73" s="140" t="n">
        <x:v>3690</x:v>
      </x:c>
      <x:c r="L73" s="140" t="n">
        <x:v>18450</x:v>
      </x:c>
      <x:c r="M73" s="140" t="n">
        <x:v>8800</x:v>
      </x:c>
      <x:c r="N73" s="140" t="n">
        <x:v>9650</x:v>
      </x:c>
      <x:c r="O73" s="142" t="n">
        <x:v>0.5230352303523035</x:v>
      </x:c>
      <x:c r="P73" t="str">
        <x:v>New</x:v>
      </x:c>
      <x:c r="Q73" t="str">
        <x:v>Online</x:v>
      </x:c>
      <x:c r="R73" s="140" t="n">
        <x:v>19100</x:v>
      </x:c>
      <x:c r="S73" s="142" t="n">
        <x:v>0.9659685863874345</x:v>
      </x:c>
      <x:c r="T73" s="142" t="n">
        <x:v>0.049672609786229074</x:v>
      </x:c>
      <x:c r="U73" t="str">
        <x:v>Completed</x:v>
      </x:c>
      <x:c r="V73" s="142" t="n">
        <x:v>0.03</x:v>
      </x:c>
      <x:c r="W73" t="n">
        <x:v>3.9</x:v>
      </x:c>
    </x:row>
    <x:row r="74">
      <x:c r="A74" t="str">
        <x:v>ORD-10073</x:v>
      </x:c>
      <x:c r="B74" s="138" t="n">
        <x:v>45974</x:v>
      </x:c>
      <x:c r="C74" t="str">
        <x:v>Nov</x:v>
      </x:c>
      <x:c r="D74" t="str">
        <x:v>Q4</x:v>
      </x:c>
      <x:c r="E74" t="str">
        <x:v>East</x:v>
      </x:c>
      <x:c r="F74" t="str">
        <x:v>Patna</x:v>
      </x:c>
      <x:c r="G74" t="str">
        <x:v>Riya Das</x:v>
      </x:c>
      <x:c r="H74" t="str">
        <x:v>Electronics</x:v>
      </x:c>
      <x:c r="I74" t="str">
        <x:v>Tablet Plus</x:v>
      </x:c>
      <x:c r="J74" t="n">
        <x:v>2</x:v>
      </x:c>
      <x:c r="K74" s="140" t="n">
        <x:v>26170</x:v>
      </x:c>
      <x:c r="L74" s="140" t="n">
        <x:v>52340</x:v>
      </x:c>
      <x:c r="M74" s="140" t="n">
        <x:v>36800</x:v>
      </x:c>
      <x:c r="N74" s="140" t="n">
        <x:v>15540</x:v>
      </x:c>
      <x:c r="O74" s="142" t="n">
        <x:v>0.2969048528849828</x:v>
      </x:c>
      <x:c r="P74" t="str">
        <x:v>New</x:v>
      </x:c>
      <x:c r="Q74" t="str">
        <x:v>Offline</x:v>
      </x:c>
      <x:c r="R74" s="140" t="n">
        <x:v>52300</x:v>
      </x:c>
      <x:c r="S74" s="142" t="n">
        <x:v>1.0007648183556406</x:v>
      </x:c>
      <x:c r="T74" s="142" t="n">
        <x:v>0.03786652702669607</x:v>
      </x:c>
      <x:c r="U74" t="str">
        <x:v>Completed</x:v>
      </x:c>
      <x:c r="V74" s="142" t="n">
        <x:v>0.03</x:v>
      </x:c>
      <x:c r="W74" t="n">
        <x:v>4.1</x:v>
      </x:c>
    </x:row>
    <x:row r="75">
      <x:c r="A75" t="str">
        <x:v>ORD-10074</x:v>
      </x:c>
      <x:c r="B75" s="138" t="n">
        <x:v>45809</x:v>
      </x:c>
      <x:c r="C75" t="str">
        <x:v>Jun</x:v>
      </x:c>
      <x:c r="D75" t="str">
        <x:v>Q2</x:v>
      </x:c>
      <x:c r="E75" t="str">
        <x:v>West</x:v>
      </x:c>
      <x:c r="F75" t="str">
        <x:v>Mumbai</x:v>
      </x:c>
      <x:c r="G75" t="str">
        <x:v>Meera Patel</x:v>
      </x:c>
      <x:c r="H75" t="str">
        <x:v>Accessories</x:v>
      </x:c>
      <x:c r="I75" t="str">
        <x:v>Headphones</x:v>
      </x:c>
      <x:c r="J75" t="n">
        <x:v>16</x:v>
      </x:c>
      <x:c r="K75" s="140" t="n">
        <x:v>5750</x:v>
      </x:c>
      <x:c r="L75" s="140" t="n">
        <x:v>92000</x:v>
      </x:c>
      <x:c r="M75" s="140" t="n">
        <x:v>46720</x:v>
      </x:c>
      <x:c r="N75" s="140" t="n">
        <x:v>45280</x:v>
      </x:c>
      <x:c r="O75" s="142" t="n">
        <x:v>0.49217391304347824</x:v>
      </x:c>
      <x:c r="P75" t="str">
        <x:v>New</x:v>
      </x:c>
      <x:c r="Q75" t="str">
        <x:v>Online</x:v>
      </x:c>
      <x:c r="R75" s="140" t="n">
        <x:v>97800</x:v>
      </x:c>
      <x:c r="S75" s="142" t="n">
        <x:v>0.9406952965235174</x:v>
      </x:c>
      <x:c r="T75" s="142" t="n">
        <x:v>-0.04374996243881042</x:v>
      </x:c>
      <x:c r="U75" t="str">
        <x:v>Completed</x:v>
      </x:c>
      <x:c r="V75" s="142" t="n">
        <x:v>0.03</x:v>
      </x:c>
      <x:c r="W75" t="n">
        <x:v>4.2</x:v>
      </x:c>
    </x:row>
    <x:row r="76">
      <x:c r="A76" t="str">
        <x:v>ORD-10075</x:v>
      </x:c>
      <x:c r="B76" s="138" t="n">
        <x:v>45693</x:v>
      </x:c>
      <x:c r="C76" t="str">
        <x:v>Feb</x:v>
      </x:c>
      <x:c r="D76" t="str">
        <x:v>Q1</x:v>
      </x:c>
      <x:c r="E76" t="str">
        <x:v>West</x:v>
      </x:c>
      <x:c r="F76" t="str">
        <x:v>Ahmedabad</x:v>
      </x:c>
      <x:c r="G76" t="str">
        <x:v>Kabir Shah</x:v>
      </x:c>
      <x:c r="H76" t="str">
        <x:v>Electronics</x:v>
      </x:c>
      <x:c r="I76" t="str">
        <x:v>Laptop Pro</x:v>
      </x:c>
      <x:c r="J76" t="n">
        <x:v>8</x:v>
      </x:c>
      <x:c r="K76" s="140" t="n">
        <x:v>71680</x:v>
      </x:c>
      <x:c r="L76" s="140" t="n">
        <x:v>573440</x:v>
      </x:c>
      <x:c r="M76" s="140" t="n">
        <x:v>420000</x:v>
      </x:c>
      <x:c r="N76" s="140" t="n">
        <x:v>153440</x:v>
      </x:c>
      <x:c r="O76" s="142" t="n">
        <x:v>0.267578125</x:v>
      </x:c>
      <x:c r="P76" t="str">
        <x:v>New</x:v>
      </x:c>
      <x:c r="Q76" t="str">
        <x:v>Offline</x:v>
      </x:c>
      <x:c r="R76" s="140" t="n">
        <x:v>647800</x:v>
      </x:c>
      <x:c r="S76" s="142" t="n">
        <x:v>0.8852114850262427</x:v>
      </x:c>
      <x:c r="T76" s="142" t="n">
        <x:v>0.026899815630745255</x:v>
      </x:c>
      <x:c r="U76" t="str">
        <x:v>Completed</x:v>
      </x:c>
      <x:c r="V76" s="142" t="n">
        <x:v>0</x:v>
      </x:c>
      <x:c r="W76" t="n">
        <x:v>3.7</x:v>
      </x:c>
    </x:row>
    <x:row r="77">
      <x:c r="A77" t="str">
        <x:v>ORD-10076</x:v>
      </x:c>
      <x:c r="B77" s="138" t="n">
        <x:v>45959</x:v>
      </x:c>
      <x:c r="C77" t="str">
        <x:v>Oct</x:v>
      </x:c>
      <x:c r="D77" t="str">
        <x:v>Q4</x:v>
      </x:c>
      <x:c r="E77" t="str">
        <x:v>West</x:v>
      </x:c>
      <x:c r="F77" t="str">
        <x:v>Pune</x:v>
      </x:c>
      <x:c r="G77" t="str">
        <x:v>Kabir Shah</x:v>
      </x:c>
      <x:c r="H77" t="str">
        <x:v>Office</x:v>
      </x:c>
      <x:c r="I77" t="str">
        <x:v>Ergonomic Chair</x:v>
      </x:c>
      <x:c r="J77" t="n">
        <x:v>4</x:v>
      </x:c>
      <x:c r="K77" s="140" t="n">
        <x:v>11300</x:v>
      </x:c>
      <x:c r="L77" s="140" t="n">
        <x:v>45200</x:v>
      </x:c>
      <x:c r="M77" s="140" t="n">
        <x:v>30400</x:v>
      </x:c>
      <x:c r="N77" s="140" t="n">
        <x:v>14800</x:v>
      </x:c>
      <x:c r="O77" s="142" t="n">
        <x:v>0.3274336283185841</x:v>
      </x:c>
      <x:c r="P77" t="str">
        <x:v>New</x:v>
      </x:c>
      <x:c r="Q77" t="str">
        <x:v>Offline</x:v>
      </x:c>
      <x:c r="R77" s="140" t="n">
        <x:v>42000</x:v>
      </x:c>
      <x:c r="S77" s="142" t="n">
        <x:v>1.0761904761904761</x:v>
      </x:c>
      <x:c r="T77" s="142" t="n">
        <x:v>0.1967199940424197</x:v>
      </x:c>
      <x:c r="U77" t="str">
        <x:v>Cancelled</x:v>
      </x:c>
      <x:c r="V77" s="142" t="n">
        <x:v>0.08</x:v>
      </x:c>
      <x:c r="W77" t="n">
        <x:v>4.6</x:v>
      </x:c>
    </x:row>
    <x:row r="78">
      <x:c r="A78" t="str">
        <x:v>ORD-10077</x:v>
      </x:c>
      <x:c r="B78" s="138" t="n">
        <x:v>45675</x:v>
      </x:c>
      <x:c r="C78" t="str">
        <x:v>Jan</x:v>
      </x:c>
      <x:c r="D78" t="str">
        <x:v>Q1</x:v>
      </x:c>
      <x:c r="E78" t="str">
        <x:v>South</x:v>
      </x:c>
      <x:c r="F78" t="str">
        <x:v>Hyderabad</x:v>
      </x:c>
      <x:c r="G78" t="str">
        <x:v>Vikram Rao</x:v>
      </x:c>
      <x:c r="H78" t="str">
        <x:v>Electronics</x:v>
      </x:c>
      <x:c r="I78" t="str">
        <x:v>Laptop Pro</x:v>
      </x:c>
      <x:c r="J78" t="n">
        <x:v>16</x:v>
      </x:c>
      <x:c r="K78" s="140" t="n">
        <x:v>68390</x:v>
      </x:c>
      <x:c r="L78" s="140" t="n">
        <x:v>1094240</x:v>
      </x:c>
      <x:c r="M78" s="140" t="n">
        <x:v>840000</x:v>
      </x:c>
      <x:c r="N78" s="140" t="n">
        <x:v>254240</x:v>
      </x:c>
      <x:c r="O78" s="142" t="n">
        <x:v>0.2323439099283521</x:v>
      </x:c>
      <x:c r="P78" t="str">
        <x:v>Existing</x:v>
      </x:c>
      <x:c r="Q78" t="str">
        <x:v>Offline</x:v>
      </x:c>
      <x:c r="R78" s="140" t="n">
        <x:v>1132600</x:v>
      </x:c>
      <x:c r="S78" s="142" t="n">
        <x:v>0.9661310259579728</x:v>
      </x:c>
      <x:c r="T78" s="142" t="n">
        <x:v>-0.04370922964791374</x:v>
      </x:c>
      <x:c r="U78" t="str">
        <x:v>Completed</x:v>
      </x:c>
      <x:c r="V78" s="142" t="n">
        <x:v>0.08</x:v>
      </x:c>
      <x:c r="W78" t="n">
        <x:v>4.5</x:v>
      </x:c>
    </x:row>
    <x:row r="79">
      <x:c r="A79" t="str">
        <x:v>ORD-10078</x:v>
      </x:c>
      <x:c r="B79" s="138" t="n">
        <x:v>45661</x:v>
      </x:c>
      <x:c r="C79" t="str">
        <x:v>Jan</x:v>
      </x:c>
      <x:c r="D79" t="str">
        <x:v>Q1</x:v>
      </x:c>
      <x:c r="E79" t="str">
        <x:v>East</x:v>
      </x:c>
      <x:c r="F79" t="str">
        <x:v>Patna</x:v>
      </x:c>
      <x:c r="G79" t="str">
        <x:v>Aarav Sen</x:v>
      </x:c>
      <x:c r="H79" t="str">
        <x:v>Office</x:v>
      </x:c>
      <x:c r="I79" t="str">
        <x:v>Ergonomic Chair</x:v>
      </x:c>
      <x:c r="J79" t="n">
        <x:v>11</x:v>
      </x:c>
      <x:c r="K79" s="140" t="n">
        <x:v>11570</x:v>
      </x:c>
      <x:c r="L79" s="140" t="n">
        <x:v>127270</x:v>
      </x:c>
      <x:c r="M79" s="140" t="n">
        <x:v>83600</x:v>
      </x:c>
      <x:c r="N79" s="140" t="n">
        <x:v>43670</x:v>
      </x:c>
      <x:c r="O79" s="142" t="n">
        <x:v>0.34312878133102853</x:v>
      </x:c>
      <x:c r="P79" t="str">
        <x:v>Existing</x:v>
      </x:c>
      <x:c r="Q79" t="str">
        <x:v>Online</x:v>
      </x:c>
      <x:c r="R79" s="140" t="n">
        <x:v>126100</x:v>
      </x:c>
      <x:c r="S79" s="142" t="n">
        <x:v>1.0092783505154639</x:v>
      </x:c>
      <x:c r="T79" s="142" t="n">
        <x:v>0.08851998829214978</x:v>
      </x:c>
      <x:c r="U79" t="str">
        <x:v>Completed</x:v>
      </x:c>
      <x:c r="V79" s="142" t="n">
        <x:v>0.08</x:v>
      </x:c>
      <x:c r="W79" t="n">
        <x:v>4.8</x:v>
      </x:c>
    </x:row>
    <x:row r="80">
      <x:c r="A80" t="str">
        <x:v>ORD-10079</x:v>
      </x:c>
      <x:c r="B80" s="138" t="n">
        <x:v>45946</x:v>
      </x:c>
      <x:c r="C80" t="str">
        <x:v>Oct</x:v>
      </x:c>
      <x:c r="D80" t="str">
        <x:v>Q4</x:v>
      </x:c>
      <x:c r="E80" t="str">
        <x:v>East</x:v>
      </x:c>
      <x:c r="F80" t="str">
        <x:v>Kolkata</x:v>
      </x:c>
      <x:c r="G80" t="str">
        <x:v>Aarav Sen</x:v>
      </x:c>
      <x:c r="H80" t="str">
        <x:v>Office</x:v>
      </x:c>
      <x:c r="I80" t="str">
        <x:v>Laser Printer</x:v>
      </x:c>
      <x:c r="J80" t="n">
        <x:v>16</x:v>
      </x:c>
      <x:c r="K80" s="140" t="n">
        <x:v>17510</x:v>
      </x:c>
      <x:c r="L80" s="140" t="n">
        <x:v>280160</x:v>
      </x:c>
      <x:c r="M80" s="140" t="n">
        <x:v>201600</x:v>
      </x:c>
      <x:c r="N80" s="140" t="n">
        <x:v>78560</x:v>
      </x:c>
      <x:c r="O80" s="142" t="n">
        <x:v>0.2804111936036551</x:v>
      </x:c>
      <x:c r="P80" t="str">
        <x:v>Existing</x:v>
      </x:c>
      <x:c r="Q80" t="str">
        <x:v>Offline</x:v>
      </x:c>
      <x:c r="R80" s="140" t="n">
        <x:v>272400</x:v>
      </x:c>
      <x:c r="S80" s="142" t="n">
        <x:v>1.0284875183553597</x:v>
      </x:c>
      <x:c r="T80" s="142" t="n">
        <x:v>-0.03403449992944756</x:v>
      </x:c>
      <x:c r="U80" t="str">
        <x:v>Completed</x:v>
      </x:c>
      <x:c r="V80" s="142" t="n">
        <x:v>0.08</x:v>
      </x:c>
      <x:c r="W80" t="n">
        <x:v>4.3</x:v>
      </x:c>
    </x:row>
    <x:row r="81">
      <x:c r="A81" t="str">
        <x:v>ORD-10080</x:v>
      </x:c>
      <x:c r="B81" s="138" t="n">
        <x:v>45872</x:v>
      </x:c>
      <x:c r="C81" t="str">
        <x:v>Aug</x:v>
      </x:c>
      <x:c r="D81" t="str">
        <x:v>Q3</x:v>
      </x:c>
      <x:c r="E81" t="str">
        <x:v>West</x:v>
      </x:c>
      <x:c r="F81" t="str">
        <x:v>Mumbai</x:v>
      </x:c>
      <x:c r="G81" t="str">
        <x:v>Meera Patel</x:v>
      </x:c>
      <x:c r="H81" t="str">
        <x:v>Home</x:v>
      </x:c>
      <x:c r="I81" t="str">
        <x:v>Vacuum Cleaner</x:v>
      </x:c>
      <x:c r="J81" t="n">
        <x:v>2</x:v>
      </x:c>
      <x:c r="K81" s="140" t="n">
        <x:v>10510</x:v>
      </x:c>
      <x:c r="L81" s="140" t="n">
        <x:v>21020</x:v>
      </x:c>
      <x:c r="M81" s="140" t="n">
        <x:v>14200</x:v>
      </x:c>
      <x:c r="N81" s="140" t="n">
        <x:v>6820</x:v>
      </x:c>
      <x:c r="O81" s="142" t="n">
        <x:v>0.32445290199809707</x:v>
      </x:c>
      <x:c r="P81" t="str">
        <x:v>Existing</x:v>
      </x:c>
      <x:c r="Q81" t="str">
        <x:v>Online</x:v>
      </x:c>
      <x:c r="R81" s="140" t="n">
        <x:v>19800</x:v>
      </x:c>
      <x:c r="S81" s="142" t="n">
        <x:v>1.0616161616161617</x:v>
      </x:c>
      <x:c r="T81" s="142" t="n">
        <x:v>0.05841087155818954</x:v>
      </x:c>
      <x:c r="U81" t="str">
        <x:v>Completed</x:v>
      </x:c>
      <x:c r="V81" s="142" t="n">
        <x:v>0.08</x:v>
      </x:c>
      <x:c r="W81" t="n">
        <x:v>4.8</x:v>
      </x:c>
    </x:row>
    <x:row r="82">
      <x:c r="A82" t="str">
        <x:v>ORD-10081</x:v>
      </x:c>
      <x:c r="B82" s="138" t="n">
        <x:v>45663</x:v>
      </x:c>
      <x:c r="C82" t="str">
        <x:v>Jan</x:v>
      </x:c>
      <x:c r="D82" t="str">
        <x:v>Q1</x:v>
      </x:c>
      <x:c r="E82" t="str">
        <x:v>West</x:v>
      </x:c>
      <x:c r="F82" t="str">
        <x:v>Mumbai</x:v>
      </x:c>
      <x:c r="G82" t="str">
        <x:v>Kabir Shah</x:v>
      </x:c>
      <x:c r="H82" t="str">
        <x:v>Accessories</x:v>
      </x:c>
      <x:c r="I82" t="str">
        <x:v>Wireless Mouse</x:v>
      </x:c>
      <x:c r="J82" t="n">
        <x:v>13</x:v>
      </x:c>
      <x:c r="K82" s="140" t="n">
        <x:v>2110</x:v>
      </x:c>
      <x:c r="L82" s="140" t="n">
        <x:v>27430</x:v>
      </x:c>
      <x:c r="M82" s="140" t="n">
        <x:v>12090</x:v>
      </x:c>
      <x:c r="N82" s="140" t="n">
        <x:v>15340</x:v>
      </x:c>
      <x:c r="O82" s="142" t="n">
        <x:v>0.5592417061611374</x:v>
      </x:c>
      <x:c r="P82" t="str">
        <x:v>New</x:v>
      </x:c>
      <x:c r="Q82" t="str">
        <x:v>Online</x:v>
      </x:c>
      <x:c r="R82" s="140" t="n">
        <x:v>28500</x:v>
      </x:c>
      <x:c r="S82" s="142" t="n">
        <x:v>0.9624561403508772</x:v>
      </x:c>
      <x:c r="T82" s="142" t="n">
        <x:v>0.007842805400786121</x:v>
      </x:c>
      <x:c r="U82" t="str">
        <x:v>Completed</x:v>
      </x:c>
      <x:c r="V82" s="142" t="n">
        <x:v>0.03</x:v>
      </x:c>
      <x:c r="W82" t="n">
        <x:v>4.2</x:v>
      </x:c>
    </x:row>
    <x:row r="83">
      <x:c r="A83" t="str">
        <x:v>ORD-10082</x:v>
      </x:c>
      <x:c r="B83" s="138" t="n">
        <x:v>45865</x:v>
      </x:c>
      <x:c r="C83" t="str">
        <x:v>Jul</x:v>
      </x:c>
      <x:c r="D83" t="str">
        <x:v>Q3</x:v>
      </x:c>
      <x:c r="E83" t="str">
        <x:v>South</x:v>
      </x:c>
      <x:c r="F83" t="str">
        <x:v>Bengaluru</x:v>
      </x:c>
      <x:c r="G83" t="str">
        <x:v>Ananya Iyer</x:v>
      </x:c>
      <x:c r="H83" t="str">
        <x:v>Office</x:v>
      </x:c>
      <x:c r="I83" t="str">
        <x:v>Laser Printer</x:v>
      </x:c>
      <x:c r="J83" t="n">
        <x:v>1</x:v>
      </x:c>
      <x:c r="K83" s="140" t="n">
        <x:v>17990</x:v>
      </x:c>
      <x:c r="L83" s="140" t="n">
        <x:v>17990</x:v>
      </x:c>
      <x:c r="M83" s="140" t="n">
        <x:v>12600</x:v>
      </x:c>
      <x:c r="N83" s="140" t="n">
        <x:v>5390</x:v>
      </x:c>
      <x:c r="O83" s="142" t="n">
        <x:v>0.29961089494163423</x:v>
      </x:c>
      <x:c r="P83" t="str">
        <x:v>Existing</x:v>
      </x:c>
      <x:c r="Q83" t="str">
        <x:v>Offline</x:v>
      </x:c>
      <x:c r="R83" s="140" t="n">
        <x:v>18500</x:v>
      </x:c>
      <x:c r="S83" s="142" t="n">
        <x:v>0.9724324324324324</x:v>
      </x:c>
      <x:c r="T83" s="142" t="n">
        <x:v>0.15633542396277372</x:v>
      </x:c>
      <x:c r="U83" t="str">
        <x:v>Completed</x:v>
      </x:c>
      <x:c r="V83" s="142" t="n">
        <x:v>0.08</x:v>
      </x:c>
      <x:c r="W83" t="n">
        <x:v>4.4</x:v>
      </x:c>
    </x:row>
    <x:row r="84">
      <x:c r="A84" t="str">
        <x:v>ORD-10083</x:v>
      </x:c>
      <x:c r="B84" s="138" t="n">
        <x:v>45912</x:v>
      </x:c>
      <x:c r="C84" t="str">
        <x:v>Sep</x:v>
      </x:c>
      <x:c r="D84" t="str">
        <x:v>Q3</x:v>
      </x:c>
      <x:c r="E84" t="str">
        <x:v>West</x:v>
      </x:c>
      <x:c r="F84" t="str">
        <x:v>Ahmedabad</x:v>
      </x:c>
      <x:c r="G84" t="str">
        <x:v>Kabir Shah</x:v>
      </x:c>
      <x:c r="H84" t="str">
        <x:v>Accessories</x:v>
      </x:c>
      <x:c r="I84" t="str">
        <x:v>Headphones</x:v>
      </x:c>
      <x:c r="J84" t="n">
        <x:v>9</x:v>
      </x:c>
      <x:c r="K84" s="140" t="n">
        <x:v>5370</x:v>
      </x:c>
      <x:c r="L84" s="140" t="n">
        <x:v>48330</x:v>
      </x:c>
      <x:c r="M84" s="140" t="n">
        <x:v>26280</x:v>
      </x:c>
      <x:c r="N84" s="140" t="n">
        <x:v>22050</x:v>
      </x:c>
      <x:c r="O84" s="142" t="n">
        <x:v>0.45623836126629425</x:v>
      </x:c>
      <x:c r="P84" t="str">
        <x:v>New</x:v>
      </x:c>
      <x:c r="Q84" t="str">
        <x:v>Online</x:v>
      </x:c>
      <x:c r="R84" s="140" t="n">
        <x:v>50100</x:v>
      </x:c>
      <x:c r="S84" s="142" t="n">
        <x:v>0.9646706586826347</x:v>
      </x:c>
      <x:c r="T84" s="142" t="n">
        <x:v>0.052462552587492176</x:v>
      </x:c>
      <x:c r="U84" t="str">
        <x:v>Completed</x:v>
      </x:c>
      <x:c r="V84" s="142" t="n">
        <x:v>0.05</x:v>
      </x:c>
      <x:c r="W84" t="n">
        <x:v>3.6</x:v>
      </x:c>
    </x:row>
    <x:row r="85">
      <x:c r="A85" t="str">
        <x:v>ORD-10084</x:v>
      </x:c>
      <x:c r="B85" s="138" t="n">
        <x:v>45681</x:v>
      </x:c>
      <x:c r="C85" t="str">
        <x:v>Jan</x:v>
      </x:c>
      <x:c r="D85" t="str">
        <x:v>Q1</x:v>
      </x:c>
      <x:c r="E85" t="str">
        <x:v>East</x:v>
      </x:c>
      <x:c r="F85" t="str">
        <x:v>Patna</x:v>
      </x:c>
      <x:c r="G85" t="str">
        <x:v>Aarav Sen</x:v>
      </x:c>
      <x:c r="H85" t="str">
        <x:v>Electronics</x:v>
      </x:c>
      <x:c r="I85" t="str">
        <x:v>Smartphone X</x:v>
      </x:c>
      <x:c r="J85" t="n">
        <x:v>4</x:v>
      </x:c>
      <x:c r="K85" s="140" t="n">
        <x:v>28870</x:v>
      </x:c>
      <x:c r="L85" s="140" t="n">
        <x:v>115480</x:v>
      </x:c>
      <x:c r="M85" s="140" t="n">
        <x:v>91200</x:v>
      </x:c>
      <x:c r="N85" s="140" t="n">
        <x:v>24280</x:v>
      </x:c>
      <x:c r="O85" s="142" t="n">
        <x:v>0.21025285763768617</x:v>
      </x:c>
      <x:c r="P85" t="str">
        <x:v>Existing</x:v>
      </x:c>
      <x:c r="Q85" t="str">
        <x:v>Offline</x:v>
      </x:c>
      <x:c r="R85" s="140" t="n">
        <x:v>115400</x:v>
      </x:c>
      <x:c r="S85" s="142" t="n">
        <x:v>1.0006932409012133</x:v>
      </x:c>
      <x:c r="T85" s="142" t="n">
        <x:v>0.16534847185685853</x:v>
      </x:c>
      <x:c r="U85" t="str">
        <x:v>Completed</x:v>
      </x:c>
      <x:c r="V85" s="142" t="n">
        <x:v>0.08</x:v>
      </x:c>
      <x:c r="W85" t="n">
        <x:v>4.3</x:v>
      </x:c>
    </x:row>
    <x:row r="86">
      <x:c r="A86" t="str">
        <x:v>ORD-10085</x:v>
      </x:c>
      <x:c r="B86" s="138" t="n">
        <x:v>46009</x:v>
      </x:c>
      <x:c r="C86" t="str">
        <x:v>Dec</x:v>
      </x:c>
      <x:c r="D86" t="str">
        <x:v>Q4</x:v>
      </x:c>
      <x:c r="E86" t="str">
        <x:v>North</x:v>
      </x:c>
      <x:c r="F86" t="str">
        <x:v>Lucknow</x:v>
      </x:c>
      <x:c r="G86" t="str">
        <x:v>Neha Verma</x:v>
      </x:c>
      <x:c r="H86" t="str">
        <x:v>Accessories</x:v>
      </x:c>
      <x:c r="I86" t="str">
        <x:v>Headphones</x:v>
      </x:c>
      <x:c r="J86" t="n">
        <x:v>6</x:v>
      </x:c>
      <x:c r="K86" s="140" t="n">
        <x:v>5890</x:v>
      </x:c>
      <x:c r="L86" s="140" t="n">
        <x:v>35340</x:v>
      </x:c>
      <x:c r="M86" s="140" t="n">
        <x:v>17520</x:v>
      </x:c>
      <x:c r="N86" s="140" t="n">
        <x:v>17820</x:v>
      </x:c>
      <x:c r="O86" s="142" t="n">
        <x:v>0.5042444821731749</x:v>
      </x:c>
      <x:c r="P86" t="str">
        <x:v>Existing</x:v>
      </x:c>
      <x:c r="Q86" t="str">
        <x:v>Online</x:v>
      </x:c>
      <x:c r="R86" s="140" t="n">
        <x:v>36100</x:v>
      </x:c>
      <x:c r="S86" s="142" t="n">
        <x:v>0.9789473684210527</x:v>
      </x:c>
      <x:c r="T86" s="142" t="n">
        <x:v>0.16161315875854154</x:v>
      </x:c>
      <x:c r="U86" t="str">
        <x:v>Pending</x:v>
      </x:c>
      <x:c r="V86" s="142" t="n">
        <x:v>0</x:v>
      </x:c>
      <x:c r="W86" t="n">
        <x:v>4.5</x:v>
      </x:c>
    </x:row>
    <x:row r="87">
      <x:c r="A87" t="str">
        <x:v>ORD-10086</x:v>
      </x:c>
      <x:c r="B87" s="138" t="n">
        <x:v>45973</x:v>
      </x:c>
      <x:c r="C87" t="str">
        <x:v>Nov</x:v>
      </x:c>
      <x:c r="D87" t="str">
        <x:v>Q4</x:v>
      </x:c>
      <x:c r="E87" t="str">
        <x:v>East</x:v>
      </x:c>
      <x:c r="F87" t="str">
        <x:v>Bhubaneswar</x:v>
      </x:c>
      <x:c r="G87" t="str">
        <x:v>Riya Das</x:v>
      </x:c>
      <x:c r="H87" t="str">
        <x:v>Electronics</x:v>
      </x:c>
      <x:c r="I87" t="str">
        <x:v>Tablet Plus</x:v>
      </x:c>
      <x:c r="J87" t="n">
        <x:v>7</x:v>
      </x:c>
      <x:c r="K87" s="140" t="n">
        <x:v>26360</x:v>
      </x:c>
      <x:c r="L87" s="140" t="n">
        <x:v>184520</x:v>
      </x:c>
      <x:c r="M87" s="140" t="n">
        <x:v>128800</x:v>
      </x:c>
      <x:c r="N87" s="140" t="n">
        <x:v>55720</x:v>
      </x:c>
      <x:c r="O87" s="142" t="n">
        <x:v>0.30197268588770865</x:v>
      </x:c>
      <x:c r="P87" t="str">
        <x:v>Existing</x:v>
      </x:c>
      <x:c r="Q87" t="str">
        <x:v>Online</x:v>
      </x:c>
      <x:c r="R87" s="140" t="n">
        <x:v>203200</x:v>
      </x:c>
      <x:c r="S87" s="142" t="n">
        <x:v>0.9080708661417323</x:v>
      </x:c>
      <x:c r="T87" s="142" t="n">
        <x:v>-0.06851487328054806</x:v>
      </x:c>
      <x:c r="U87" t="str">
        <x:v>Completed</x:v>
      </x:c>
      <x:c r="V87" s="142" t="n">
        <x:v>0</x:v>
      </x:c>
      <x:c r="W87" t="n">
        <x:v>4.4</x:v>
      </x:c>
    </x:row>
    <x:row r="88">
      <x:c r="A88" t="str">
        <x:v>ORD-10087</x:v>
      </x:c>
      <x:c r="B88" s="138" t="n">
        <x:v>45829</x:v>
      </x:c>
      <x:c r="C88" t="str">
        <x:v>Jun</x:v>
      </x:c>
      <x:c r="D88" t="str">
        <x:v>Q2</x:v>
      </x:c>
      <x:c r="E88" t="str">
        <x:v>South</x:v>
      </x:c>
      <x:c r="F88" t="str">
        <x:v>Chennai</x:v>
      </x:c>
      <x:c r="G88" t="str">
        <x:v>Ananya Iyer</x:v>
      </x:c>
      <x:c r="H88" t="str">
        <x:v>Home</x:v>
      </x:c>
      <x:c r="I88" t="str">
        <x:v>Air Purifier</x:v>
      </x:c>
      <x:c r="J88" t="n">
        <x:v>14</x:v>
      </x:c>
      <x:c r="K88" s="140" t="n">
        <x:v>14870</x:v>
      </x:c>
      <x:c r="L88" s="140" t="n">
        <x:v>208180</x:v>
      </x:c>
      <x:c r="M88" s="140" t="n">
        <x:v>145600</x:v>
      </x:c>
      <x:c r="N88" s="140" t="n">
        <x:v>62580</x:v>
      </x:c>
      <x:c r="O88" s="142" t="n">
        <x:v>0.30060524546065903</x:v>
      </x:c>
      <x:c r="P88" t="str">
        <x:v>New</x:v>
      </x:c>
      <x:c r="Q88" t="str">
        <x:v>Online</x:v>
      </x:c>
      <x:c r="R88" s="140" t="n">
        <x:v>200500</x:v>
      </x:c>
      <x:c r="S88" s="142" t="n">
        <x:v>1.0383042394014963</x:v>
      </x:c>
      <x:c r="T88" s="142" t="n">
        <x:v>0.007066255043468403</x:v>
      </x:c>
      <x:c r="U88" t="str">
        <x:v>Completed</x:v>
      </x:c>
      <x:c r="V88" s="142" t="n">
        <x:v>0.08</x:v>
      </x:c>
      <x:c r="W88" t="n">
        <x:v>4.9</x:v>
      </x:c>
    </x:row>
    <x:row r="89">
      <x:c r="A89" t="str">
        <x:v>ORD-10088</x:v>
      </x:c>
      <x:c r="B89" s="138" t="n">
        <x:v>45994</x:v>
      </x:c>
      <x:c r="C89" t="str">
        <x:v>Dec</x:v>
      </x:c>
      <x:c r="D89" t="str">
        <x:v>Q4</x:v>
      </x:c>
      <x:c r="E89" t="str">
        <x:v>West</x:v>
      </x:c>
      <x:c r="F89" t="str">
        <x:v>Ahmedabad</x:v>
      </x:c>
      <x:c r="G89" t="str">
        <x:v>Kabir Shah</x:v>
      </x:c>
      <x:c r="H89" t="str">
        <x:v>Home</x:v>
      </x:c>
      <x:c r="I89" t="str">
        <x:v>Air Purifier</x:v>
      </x:c>
      <x:c r="J89" t="n">
        <x:v>15</x:v>
      </x:c>
      <x:c r="K89" s="140" t="n">
        <x:v>16530</x:v>
      </x:c>
      <x:c r="L89" s="140" t="n">
        <x:v>247950</x:v>
      </x:c>
      <x:c r="M89" s="140" t="n">
        <x:v>156000</x:v>
      </x:c>
      <x:c r="N89" s="140" t="n">
        <x:v>91950</x:v>
      </x:c>
      <x:c r="O89" s="142" t="n">
        <x:v>0.37084089534180276</x:v>
      </x:c>
      <x:c r="P89" t="str">
        <x:v>Existing</x:v>
      </x:c>
      <x:c r="Q89" t="str">
        <x:v>Online</x:v>
      </x:c>
      <x:c r="R89" s="140" t="n">
        <x:v>244500</x:v>
      </x:c>
      <x:c r="S89" s="142" t="n">
        <x:v>1.0141104294478527</x:v>
      </x:c>
      <x:c r="T89" s="142" t="n">
        <x:v>0.1329100219117122</x:v>
      </x:c>
      <x:c r="U89" t="str">
        <x:v>Cancelled</x:v>
      </x:c>
      <x:c r="V89" s="142" t="n">
        <x:v>0</x:v>
      </x:c>
      <x:c r="W89" t="n">
        <x:v>4.5</x:v>
      </x:c>
    </x:row>
    <x:row r="90">
      <x:c r="A90" t="str">
        <x:v>ORD-10089</x:v>
      </x:c>
      <x:c r="B90" s="138" t="n">
        <x:v>45823</x:v>
      </x:c>
      <x:c r="C90" t="str">
        <x:v>Jun</x:v>
      </x:c>
      <x:c r="D90" t="str">
        <x:v>Q2</x:v>
      </x:c>
      <x:c r="E90" t="str">
        <x:v>North</x:v>
      </x:c>
      <x:c r="F90" t="str">
        <x:v>Jaipur</x:v>
      </x:c>
      <x:c r="G90" t="str">
        <x:v>Neha Verma</x:v>
      </x:c>
      <x:c r="H90" t="str">
        <x:v>Home</x:v>
      </x:c>
      <x:c r="I90" t="str">
        <x:v>Air Purifier</x:v>
      </x:c>
      <x:c r="J90" t="n">
        <x:v>9</x:v>
      </x:c>
      <x:c r="K90" s="140" t="n">
        <x:v>16260</x:v>
      </x:c>
      <x:c r="L90" s="140" t="n">
        <x:v>146340</x:v>
      </x:c>
      <x:c r="M90" s="140" t="n">
        <x:v>93600</x:v>
      </x:c>
      <x:c r="N90" s="140" t="n">
        <x:v>52740</x:v>
      </x:c>
      <x:c r="O90" s="142" t="n">
        <x:v>0.36039360393603936</x:v>
      </x:c>
      <x:c r="P90" t="str">
        <x:v>Existing</x:v>
      </x:c>
      <x:c r="Q90" t="str">
        <x:v>Offline</x:v>
      </x:c>
      <x:c r="R90" s="140" t="n">
        <x:v>156900</x:v>
      </x:c>
      <x:c r="S90" s="142" t="n">
        <x:v>0.9326959847036329</x:v>
      </x:c>
      <x:c r="T90" s="142" t="n">
        <x:v>0.12104673494239908</x:v>
      </x:c>
      <x:c r="U90" t="str">
        <x:v>Completed</x:v>
      </x:c>
      <x:c r="V90" s="142" t="n">
        <x:v>0.05</x:v>
      </x:c>
      <x:c r="W90" t="n">
        <x:v>4</x:v>
      </x:c>
    </x:row>
    <x:row r="91">
      <x:c r="A91" t="str">
        <x:v>ORD-10090</x:v>
      </x:c>
      <x:c r="B91" s="138" t="n">
        <x:v>45772</x:v>
      </x:c>
      <x:c r="C91" t="str">
        <x:v>Apr</x:v>
      </x:c>
      <x:c r="D91" t="str">
        <x:v>Q2</x:v>
      </x:c>
      <x:c r="E91" t="str">
        <x:v>East</x:v>
      </x:c>
      <x:c r="F91" t="str">
        <x:v>Kolkata</x:v>
      </x:c>
      <x:c r="G91" t="str">
        <x:v>Aarav Sen</x:v>
      </x:c>
      <x:c r="H91" t="str">
        <x:v>Electronics</x:v>
      </x:c>
      <x:c r="I91" t="str">
        <x:v>Tablet Plus</x:v>
      </x:c>
      <x:c r="J91" t="n">
        <x:v>1</x:v>
      </x:c>
      <x:c r="K91" s="140" t="n">
        <x:v>25970</x:v>
      </x:c>
      <x:c r="L91" s="140" t="n">
        <x:v>25970</x:v>
      </x:c>
      <x:c r="M91" s="140" t="n">
        <x:v>18400</x:v>
      </x:c>
      <x:c r="N91" s="140" t="n">
        <x:v>7570</x:v>
      </x:c>
      <x:c r="O91" s="142" t="n">
        <x:v>0.29149018097805157</x:v>
      </x:c>
      <x:c r="P91" t="str">
        <x:v>Existing</x:v>
      </x:c>
      <x:c r="Q91" t="str">
        <x:v>Offline</x:v>
      </x:c>
      <x:c r="R91" s="140" t="n">
        <x:v>27700</x:v>
      </x:c>
      <x:c r="S91" s="142" t="n">
        <x:v>0.9375451263537906</x:v>
      </x:c>
      <x:c r="T91" s="142" t="n">
        <x:v>0.007770887356152126</x:v>
      </x:c>
      <x:c r="U91" t="str">
        <x:v>Completed</x:v>
      </x:c>
      <x:c r="V91" s="142" t="n">
        <x:v>0</x:v>
      </x:c>
      <x:c r="W91" t="n">
        <x:v>3.9</x:v>
      </x:c>
    </x:row>
    <x:row r="92">
      <x:c r="A92" t="str">
        <x:v>ORD-10091</x:v>
      </x:c>
      <x:c r="B92" s="138" t="n">
        <x:v>45948</x:v>
      </x:c>
      <x:c r="C92" t="str">
        <x:v>Oct</x:v>
      </x:c>
      <x:c r="D92" t="str">
        <x:v>Q4</x:v>
      </x:c>
      <x:c r="E92" t="str">
        <x:v>North</x:v>
      </x:c>
      <x:c r="F92" t="str">
        <x:v>Lucknow</x:v>
      </x:c>
      <x:c r="G92" t="str">
        <x:v>Neha Verma</x:v>
      </x:c>
      <x:c r="H92" t="str">
        <x:v>Home</x:v>
      </x:c>
      <x:c r="I92" t="str">
        <x:v>Microwave</x:v>
      </x:c>
      <x:c r="J92" t="n">
        <x:v>8</x:v>
      </x:c>
      <x:c r="K92" s="140" t="n">
        <x:v>13040</x:v>
      </x:c>
      <x:c r="L92" s="140" t="n">
        <x:v>104320</x:v>
      </x:c>
      <x:c r="M92" s="140" t="n">
        <x:v>66000</x:v>
      </x:c>
      <x:c r="N92" s="140" t="n">
        <x:v>38320</x:v>
      </x:c>
      <x:c r="O92" s="142" t="n">
        <x:v>0.36733128834355827</x:v>
      </x:c>
      <x:c r="P92" t="str">
        <x:v>Existing</x:v>
      </x:c>
      <x:c r="Q92" t="str">
        <x:v>Online</x:v>
      </x:c>
      <x:c r="R92" s="140" t="n">
        <x:v>101400</x:v>
      </x:c>
      <x:c r="S92" s="142" t="n">
        <x:v>1.0287968441814597</x:v>
      </x:c>
      <x:c r="T92" s="142" t="n">
        <x:v>0.18828563351324346</x:v>
      </x:c>
      <x:c r="U92" t="str">
        <x:v>Completed</x:v>
      </x:c>
      <x:c r="V92" s="142" t="n">
        <x:v>0.03</x:v>
      </x:c>
      <x:c r="W92" t="n">
        <x:v>3.8</x:v>
      </x:c>
    </x:row>
    <x:row r="93">
      <x:c r="A93" t="str">
        <x:v>ORD-10092</x:v>
      </x:c>
      <x:c r="B93" s="138" t="n">
        <x:v>45883</x:v>
      </x:c>
      <x:c r="C93" t="str">
        <x:v>Aug</x:v>
      </x:c>
      <x:c r="D93" t="str">
        <x:v>Q3</x:v>
      </x:c>
      <x:c r="E93" t="str">
        <x:v>North</x:v>
      </x:c>
      <x:c r="F93" t="str">
        <x:v>Lucknow</x:v>
      </x:c>
      <x:c r="G93" t="str">
        <x:v>Arjun Malhotra</x:v>
      </x:c>
      <x:c r="H93" t="str">
        <x:v>Electronics</x:v>
      </x:c>
      <x:c r="I93" t="str">
        <x:v>Smartphone X</x:v>
      </x:c>
      <x:c r="J93" t="n">
        <x:v>8</x:v>
      </x:c>
      <x:c r="K93" s="140" t="n">
        <x:v>32200</x:v>
      </x:c>
      <x:c r="L93" s="140" t="n">
        <x:v>257600</x:v>
      </x:c>
      <x:c r="M93" s="140" t="n">
        <x:v>182400</x:v>
      </x:c>
      <x:c r="N93" s="140" t="n">
        <x:v>75200</x:v>
      </x:c>
      <x:c r="O93" s="142" t="n">
        <x:v>0.2919254658385093</x:v>
      </x:c>
      <x:c r="P93" t="str">
        <x:v>Existing</x:v>
      </x:c>
      <x:c r="Q93" t="str">
        <x:v>Offline</x:v>
      </x:c>
      <x:c r="R93" s="140" t="n">
        <x:v>274300</x:v>
      </x:c>
      <x:c r="S93" s="142" t="n">
        <x:v>0.9391177542836311</x:v>
      </x:c>
      <x:c r="T93" s="142" t="n">
        <x:v>-0.06455878347974435</x:v>
      </x:c>
      <x:c r="U93" t="str">
        <x:v>Completed</x:v>
      </x:c>
      <x:c r="V93" s="142" t="n">
        <x:v>0</x:v>
      </x:c>
      <x:c r="W93" t="n">
        <x:v>3.9</x:v>
      </x:c>
    </x:row>
    <x:row r="94">
      <x:c r="A94" t="str">
        <x:v>ORD-10093</x:v>
      </x:c>
      <x:c r="B94" s="138" t="n">
        <x:v>45856</x:v>
      </x:c>
      <x:c r="C94" t="str">
        <x:v>Jul</x:v>
      </x:c>
      <x:c r="D94" t="str">
        <x:v>Q3</x:v>
      </x:c>
      <x:c r="E94" t="str">
        <x:v>South</x:v>
      </x:c>
      <x:c r="F94" t="str">
        <x:v>Hyderabad</x:v>
      </x:c>
      <x:c r="G94" t="str">
        <x:v>Ananya Iyer</x:v>
      </x:c>
      <x:c r="H94" t="str">
        <x:v>Home</x:v>
      </x:c>
      <x:c r="I94" t="str">
        <x:v>Microwave</x:v>
      </x:c>
      <x:c r="J94" t="n">
        <x:v>1</x:v>
      </x:c>
      <x:c r="K94" s="140" t="n">
        <x:v>12750</x:v>
      </x:c>
      <x:c r="L94" s="140" t="n">
        <x:v>12750</x:v>
      </x:c>
      <x:c r="M94" s="140" t="n">
        <x:v>8250</x:v>
      </x:c>
      <x:c r="N94" s="140" t="n">
        <x:v>4500</x:v>
      </x:c>
      <x:c r="O94" s="142" t="n">
        <x:v>0.35294117647058826</x:v>
      </x:c>
      <x:c r="P94" t="str">
        <x:v>New</x:v>
      </x:c>
      <x:c r="Q94" t="str">
        <x:v>Offline</x:v>
      </x:c>
      <x:c r="R94" s="140" t="n">
        <x:v>12500</x:v>
      </x:c>
      <x:c r="S94" s="142" t="n">
        <x:v>1.02</x:v>
      </x:c>
      <x:c r="T94" s="142" t="n">
        <x:v>0.04103171303771812</x:v>
      </x:c>
      <x:c r="U94" t="str">
        <x:v>Pending</x:v>
      </x:c>
      <x:c r="V94" s="142" t="n">
        <x:v>0.08</x:v>
      </x:c>
      <x:c r="W94" t="n">
        <x:v>4.4</x:v>
      </x:c>
    </x:row>
    <x:row r="95">
      <x:c r="A95" t="str">
        <x:v>ORD-10094</x:v>
      </x:c>
      <x:c r="B95" s="138" t="n">
        <x:v>45877</x:v>
      </x:c>
      <x:c r="C95" t="str">
        <x:v>Aug</x:v>
      </x:c>
      <x:c r="D95" t="str">
        <x:v>Q3</x:v>
      </x:c>
      <x:c r="E95" t="str">
        <x:v>North</x:v>
      </x:c>
      <x:c r="F95" t="str">
        <x:v>Delhi</x:v>
      </x:c>
      <x:c r="G95" t="str">
        <x:v>Arjun Malhotra</x:v>
      </x:c>
      <x:c r="H95" t="str">
        <x:v>Electronics</x:v>
      </x:c>
      <x:c r="I95" t="str">
        <x:v>Smartphone X</x:v>
      </x:c>
      <x:c r="J95" t="n">
        <x:v>16</x:v>
      </x:c>
      <x:c r="K95" s="140" t="n">
        <x:v>33320</x:v>
      </x:c>
      <x:c r="L95" s="140" t="n">
        <x:v>533120</x:v>
      </x:c>
      <x:c r="M95" s="140" t="n">
        <x:v>364800</x:v>
      </x:c>
      <x:c r="N95" s="140" t="n">
        <x:v>168320</x:v>
      </x:c>
      <x:c r="O95" s="142" t="n">
        <x:v>0.3157262905162065</x:v>
      </x:c>
      <x:c r="P95" t="str">
        <x:v>Existing</x:v>
      </x:c>
      <x:c r="Q95" t="str">
        <x:v>Offline</x:v>
      </x:c>
      <x:c r="R95" s="140" t="n">
        <x:v>499000</x:v>
      </x:c>
      <x:c r="S95" s="142" t="n">
        <x:v>1.068376753507014</x:v>
      </x:c>
      <x:c r="T95" s="142" t="n">
        <x:v>-0.023318108275770993</x:v>
      </x:c>
      <x:c r="U95" t="str">
        <x:v>Completed</x:v>
      </x:c>
      <x:c r="V95" s="142" t="n">
        <x:v>0</x:v>
      </x:c>
      <x:c r="W95" t="n">
        <x:v>3.9</x:v>
      </x:c>
    </x:row>
    <x:row r="96">
      <x:c r="A96" t="str">
        <x:v>ORD-10095</x:v>
      </x:c>
      <x:c r="B96" s="138" t="n">
        <x:v>45658</x:v>
      </x:c>
      <x:c r="C96" t="str">
        <x:v>Jan</x:v>
      </x:c>
      <x:c r="D96" t="str">
        <x:v>Q1</x:v>
      </x:c>
      <x:c r="E96" t="str">
        <x:v>North</x:v>
      </x:c>
      <x:c r="F96" t="str">
        <x:v>Lucknow</x:v>
      </x:c>
      <x:c r="G96" t="str">
        <x:v>Arjun Malhotra</x:v>
      </x:c>
      <x:c r="H96" t="str">
        <x:v>Home</x:v>
      </x:c>
      <x:c r="I96" t="str">
        <x:v>Vacuum Cleaner</x:v>
      </x:c>
      <x:c r="J96" t="n">
        <x:v>10</x:v>
      </x:c>
      <x:c r="K96" s="140" t="n">
        <x:v>10700</x:v>
      </x:c>
      <x:c r="L96" s="140" t="n">
        <x:v>107000</x:v>
      </x:c>
      <x:c r="M96" s="140" t="n">
        <x:v>71000</x:v>
      </x:c>
      <x:c r="N96" s="140" t="n">
        <x:v>36000</x:v>
      </x:c>
      <x:c r="O96" s="142" t="n">
        <x:v>0.3364485981308411</x:v>
      </x:c>
      <x:c r="P96" t="str">
        <x:v>Existing</x:v>
      </x:c>
      <x:c r="Q96" t="str">
        <x:v>Offline</x:v>
      </x:c>
      <x:c r="R96" s="140" t="n">
        <x:v>119200</x:v>
      </x:c>
      <x:c r="S96" s="142" t="n">
        <x:v>0.8976510067114094</x:v>
      </x:c>
      <x:c r="T96" s="142" t="n">
        <x:v>0.015305028791647482</x:v>
      </x:c>
      <x:c r="U96" t="str">
        <x:v>Completed</x:v>
      </x:c>
      <x:c r="V96" s="142" t="n">
        <x:v>0.08</x:v>
      </x:c>
      <x:c r="W96" t="n">
        <x:v>5</x:v>
      </x:c>
    </x:row>
    <x:row r="97">
      <x:c r="A97" t="str">
        <x:v>ORD-10096</x:v>
      </x:c>
      <x:c r="B97" s="138" t="n">
        <x:v>45961</x:v>
      </x:c>
      <x:c r="C97" t="str">
        <x:v>Oct</x:v>
      </x:c>
      <x:c r="D97" t="str">
        <x:v>Q4</x:v>
      </x:c>
      <x:c r="E97" t="str">
        <x:v>West</x:v>
      </x:c>
      <x:c r="F97" t="str">
        <x:v>Ahmedabad</x:v>
      </x:c>
      <x:c r="G97" t="str">
        <x:v>Kabir Shah</x:v>
      </x:c>
      <x:c r="H97" t="str">
        <x:v>Home</x:v>
      </x:c>
      <x:c r="I97" t="str">
        <x:v>Microwave</x:v>
      </x:c>
      <x:c r="J97" t="n">
        <x:v>15</x:v>
      </x:c>
      <x:c r="K97" s="140" t="n">
        <x:v>13920</x:v>
      </x:c>
      <x:c r="L97" s="140" t="n">
        <x:v>208800</x:v>
      </x:c>
      <x:c r="M97" s="140" t="n">
        <x:v>123750</x:v>
      </x:c>
      <x:c r="N97" s="140" t="n">
        <x:v>85050</x:v>
      </x:c>
      <x:c r="O97" s="142" t="n">
        <x:v>0.4073275862068966</x:v>
      </x:c>
      <x:c r="P97" t="str">
        <x:v>New</x:v>
      </x:c>
      <x:c r="Q97" t="str">
        <x:v>Offline</x:v>
      </x:c>
      <x:c r="R97" s="140" t="n">
        <x:v>243300</x:v>
      </x:c>
      <x:c r="S97" s="142" t="n">
        <x:v>0.8581997533908755</x:v>
      </x:c>
      <x:c r="T97" s="142" t="n">
        <x:v>0.1353498621425726</x:v>
      </x:c>
      <x:c r="U97" t="str">
        <x:v>Completed</x:v>
      </x:c>
      <x:c r="V97" s="142" t="n">
        <x:v>0</x:v>
      </x:c>
      <x:c r="W97" t="n">
        <x:v>4.1</x:v>
      </x:c>
    </x:row>
    <x:row r="98">
      <x:c r="A98" t="str">
        <x:v>ORD-10097</x:v>
      </x:c>
      <x:c r="B98" s="138" t="n">
        <x:v>45817</x:v>
      </x:c>
      <x:c r="C98" t="str">
        <x:v>Jun</x:v>
      </x:c>
      <x:c r="D98" t="str">
        <x:v>Q2</x:v>
      </x:c>
      <x:c r="E98" t="str">
        <x:v>East</x:v>
      </x:c>
      <x:c r="F98" t="str">
        <x:v>Patna</x:v>
      </x:c>
      <x:c r="G98" t="str">
        <x:v>Aarav Sen</x:v>
      </x:c>
      <x:c r="H98" t="str">
        <x:v>Home</x:v>
      </x:c>
      <x:c r="I98" t="str">
        <x:v>Microwave</x:v>
      </x:c>
      <x:c r="J98" t="n">
        <x:v>3</x:v>
      </x:c>
      <x:c r="K98" s="140" t="n">
        <x:v>13850</x:v>
      </x:c>
      <x:c r="L98" s="140" t="n">
        <x:v>41550</x:v>
      </x:c>
      <x:c r="M98" s="140" t="n">
        <x:v>24750</x:v>
      </x:c>
      <x:c r="N98" s="140" t="n">
        <x:v>16800</x:v>
      </x:c>
      <x:c r="O98" s="142" t="n">
        <x:v>0.4043321299638989</x:v>
      </x:c>
      <x:c r="P98" t="str">
        <x:v>Existing</x:v>
      </x:c>
      <x:c r="Q98" t="str">
        <x:v>Online</x:v>
      </x:c>
      <x:c r="R98" s="140" t="n">
        <x:v>37800</x:v>
      </x:c>
      <x:c r="S98" s="142" t="n">
        <x:v>1.0992063492063493</x:v>
      </x:c>
      <x:c r="T98" s="142" t="n">
        <x:v>-0.009829915725973498</x:v>
      </x:c>
      <x:c r="U98" t="str">
        <x:v>Pending</x:v>
      </x:c>
      <x:c r="V98" s="142" t="n">
        <x:v>0</x:v>
      </x:c>
      <x:c r="W98" t="n">
        <x:v>4.1</x:v>
      </x:c>
    </x:row>
    <x:row r="99">
      <x:c r="A99" t="str">
        <x:v>ORD-10098</x:v>
      </x:c>
      <x:c r="B99" s="138" t="n">
        <x:v>45749</x:v>
      </x:c>
      <x:c r="C99" t="str">
        <x:v>Apr</x:v>
      </x:c>
      <x:c r="D99" t="str">
        <x:v>Q2</x:v>
      </x:c>
      <x:c r="E99" t="str">
        <x:v>North</x:v>
      </x:c>
      <x:c r="F99" t="str">
        <x:v>Delhi</x:v>
      </x:c>
      <x:c r="G99" t="str">
        <x:v>Neha Verma</x:v>
      </x:c>
      <x:c r="H99" t="str">
        <x:v>Home</x:v>
      </x:c>
      <x:c r="I99" t="str">
        <x:v>Microwave</x:v>
      </x:c>
      <x:c r="J99" t="n">
        <x:v>13</x:v>
      </x:c>
      <x:c r="K99" s="140" t="n">
        <x:v>12960</x:v>
      </x:c>
      <x:c r="L99" s="140" t="n">
        <x:v>168480</x:v>
      </x:c>
      <x:c r="M99" s="140" t="n">
        <x:v>107250</x:v>
      </x:c>
      <x:c r="N99" s="140" t="n">
        <x:v>61230</x:v>
      </x:c>
      <x:c r="O99" s="142" t="n">
        <x:v>0.36342592592592593</x:v>
      </x:c>
      <x:c r="P99" t="str">
        <x:v>Existing</x:v>
      </x:c>
      <x:c r="Q99" t="str">
        <x:v>Offline</x:v>
      </x:c>
      <x:c r="R99" s="140" t="n">
        <x:v>172900</x:v>
      </x:c>
      <x:c r="S99" s="142" t="n">
        <x:v>0.9744360902255639</x:v>
      </x:c>
      <x:c r="T99" s="142" t="n">
        <x:v>0.018895856682434903</x:v>
      </x:c>
      <x:c r="U99" t="str">
        <x:v>Cancelled</x:v>
      </x:c>
      <x:c r="V99" s="142" t="n">
        <x:v>0.08</x:v>
      </x:c>
      <x:c r="W99" t="n">
        <x:v>3.6</x:v>
      </x:c>
    </x:row>
    <x:row r="100">
      <x:c r="A100" t="str">
        <x:v>ORD-10099</x:v>
      </x:c>
      <x:c r="B100" s="138" t="n">
        <x:v>45746</x:v>
      </x:c>
      <x:c r="C100" t="str">
        <x:v>Mar</x:v>
      </x:c>
      <x:c r="D100" t="str">
        <x:v>Q1</x:v>
      </x:c>
      <x:c r="E100" t="str">
        <x:v>South</x:v>
      </x:c>
      <x:c r="F100" t="str">
        <x:v>Hyderabad</x:v>
      </x:c>
      <x:c r="G100" t="str">
        <x:v>Ananya Iyer</x:v>
      </x:c>
      <x:c r="H100" t="str">
        <x:v>Accessories</x:v>
      </x:c>
      <x:c r="I100" t="str">
        <x:v>Wireless Mouse</x:v>
      </x:c>
      <x:c r="J100" t="n">
        <x:v>1</x:v>
      </x:c>
      <x:c r="K100" s="140" t="n">
        <x:v>2140</x:v>
      </x:c>
      <x:c r="L100" s="140" t="n">
        <x:v>2140</x:v>
      </x:c>
      <x:c r="M100" s="140" t="n">
        <x:v>930</x:v>
      </x:c>
      <x:c r="N100" s="140" t="n">
        <x:v>1210</x:v>
      </x:c>
      <x:c r="O100" s="142" t="n">
        <x:v>0.5654205607476636</x:v>
      </x:c>
      <x:c r="P100" t="str">
        <x:v>Existing</x:v>
      </x:c>
      <x:c r="Q100" t="str">
        <x:v>Offline</x:v>
      </x:c>
      <x:c r="R100" s="140" t="n">
        <x:v>2200</x:v>
      </x:c>
      <x:c r="S100" s="142" t="n">
        <x:v>0.9727272727272728</x:v>
      </x:c>
      <x:c r="T100" s="142" t="n">
        <x:v>0.13264946864573635</x:v>
      </x:c>
      <x:c r="U100" t="str">
        <x:v>Completed</x:v>
      </x:c>
      <x:c r="V100" s="142" t="n">
        <x:v>0</x:v>
      </x:c>
      <x:c r="W100" t="n">
        <x:v>4.1</x:v>
      </x:c>
    </x:row>
    <x:row r="101">
      <x:c r="A101" t="str">
        <x:v>ORD-10100</x:v>
      </x:c>
      <x:c r="B101" s="138" t="n">
        <x:v>45860</x:v>
      </x:c>
      <x:c r="C101" t="str">
        <x:v>Jul</x:v>
      </x:c>
      <x:c r="D101" t="str">
        <x:v>Q3</x:v>
      </x:c>
      <x:c r="E101" t="str">
        <x:v>East</x:v>
      </x:c>
      <x:c r="F101" t="str">
        <x:v>Bhubaneswar</x:v>
      </x:c>
      <x:c r="G101" t="str">
        <x:v>Aarav Sen</x:v>
      </x:c>
      <x:c r="H101" t="str">
        <x:v>Electronics</x:v>
      </x:c>
      <x:c r="I101" t="str">
        <x:v>Tablet Plus</x:v>
      </x:c>
      <x:c r="J101" t="n">
        <x:v>11</x:v>
      </x:c>
      <x:c r="K101" s="140" t="n">
        <x:v>24610</x:v>
      </x:c>
      <x:c r="L101" s="140" t="n">
        <x:v>270710</x:v>
      </x:c>
      <x:c r="M101" s="140" t="n">
        <x:v>202400</x:v>
      </x:c>
      <x:c r="N101" s="140" t="n">
        <x:v>68310</x:v>
      </x:c>
      <x:c r="O101" s="142" t="n">
        <x:v>0.2523364485981308</x:v>
      </x:c>
      <x:c r="P101" t="str">
        <x:v>New</x:v>
      </x:c>
      <x:c r="Q101" t="str">
        <x:v>Offline</x:v>
      </x:c>
      <x:c r="R101" s="140" t="n">
        <x:v>290100</x:v>
      </x:c>
      <x:c r="S101" s="142" t="n">
        <x:v>0.9331609789727681</x:v>
      </x:c>
      <x:c r="T101" s="142" t="n">
        <x:v>0.11481903688986646</x:v>
      </x:c>
      <x:c r="U101" t="str">
        <x:v>Completed</x:v>
      </x:c>
      <x:c r="V101" s="142" t="n">
        <x:v>0.05</x:v>
      </x:c>
      <x:c r="W101" t="n">
        <x:v>3.6</x:v>
      </x:c>
    </x:row>
    <x:row r="102">
      <x:c r="A102" t="str">
        <x:v>ORD-10101</x:v>
      </x:c>
      <x:c r="B102" s="138" t="n">
        <x:v>45775</x:v>
      </x:c>
      <x:c r="C102" t="str">
        <x:v>Apr</x:v>
      </x:c>
      <x:c r="D102" t="str">
        <x:v>Q2</x:v>
      </x:c>
      <x:c r="E102" t="str">
        <x:v>North</x:v>
      </x:c>
      <x:c r="F102" t="str">
        <x:v>Lucknow</x:v>
      </x:c>
      <x:c r="G102" t="str">
        <x:v>Neha Verma</x:v>
      </x:c>
      <x:c r="H102" t="str">
        <x:v>Home</x:v>
      </x:c>
      <x:c r="I102" t="str">
        <x:v>Air Purifier</x:v>
      </x:c>
      <x:c r="J102" t="n">
        <x:v>5</x:v>
      </x:c>
      <x:c r="K102" s="140" t="n">
        <x:v>15520</x:v>
      </x:c>
      <x:c r="L102" s="140" t="n">
        <x:v>77600</x:v>
      </x:c>
      <x:c r="M102" s="140" t="n">
        <x:v>52000</x:v>
      </x:c>
      <x:c r="N102" s="140" t="n">
        <x:v>25600</x:v>
      </x:c>
      <x:c r="O102" s="142" t="n">
        <x:v>0.32989690721649484</x:v>
      </x:c>
      <x:c r="P102" t="str">
        <x:v>Existing</x:v>
      </x:c>
      <x:c r="Q102" t="str">
        <x:v>Online</x:v>
      </x:c>
      <x:c r="R102" s="140" t="n">
        <x:v>82000</x:v>
      </x:c>
      <x:c r="S102" s="142" t="n">
        <x:v>0.9463414634146341</x:v>
      </x:c>
      <x:c r="T102" s="142" t="n">
        <x:v>0.15741856518986558</x:v>
      </x:c>
      <x:c r="U102" t="str">
        <x:v>Completed</x:v>
      </x:c>
      <x:c r="V102" s="142" t="n">
        <x:v>0.08</x:v>
      </x:c>
      <x:c r="W102" t="n">
        <x:v>3.4</x:v>
      </x:c>
    </x:row>
    <x:row r="103">
      <x:c r="A103" t="str">
        <x:v>ORD-10102</x:v>
      </x:c>
      <x:c r="B103" s="138" t="n">
        <x:v>45919</x:v>
      </x:c>
      <x:c r="C103" t="str">
        <x:v>Sep</x:v>
      </x:c>
      <x:c r="D103" t="str">
        <x:v>Q3</x:v>
      </x:c>
      <x:c r="E103" t="str">
        <x:v>West</x:v>
      </x:c>
      <x:c r="F103" t="str">
        <x:v>Pune</x:v>
      </x:c>
      <x:c r="G103" t="str">
        <x:v>Kabir Shah</x:v>
      </x:c>
      <x:c r="H103" t="str">
        <x:v>Home</x:v>
      </x:c>
      <x:c r="I103" t="str">
        <x:v>Microwave</x:v>
      </x:c>
      <x:c r="J103" t="n">
        <x:v>9</x:v>
      </x:c>
      <x:c r="K103" s="140" t="n">
        <x:v>13260</x:v>
      </x:c>
      <x:c r="L103" s="140" t="n">
        <x:v>119340</x:v>
      </x:c>
      <x:c r="M103" s="140" t="n">
        <x:v>74250</x:v>
      </x:c>
      <x:c r="N103" s="140" t="n">
        <x:v>45090</x:v>
      </x:c>
      <x:c r="O103" s="142" t="n">
        <x:v>0.3778280542986425</x:v>
      </x:c>
      <x:c r="P103" t="str">
        <x:v>Existing</x:v>
      </x:c>
      <x:c r="Q103" t="str">
        <x:v>Offline</x:v>
      </x:c>
      <x:c r="R103" s="140" t="n">
        <x:v>140500</x:v>
      </x:c>
      <x:c r="S103" s="142" t="n">
        <x:v>0.8493950177935943</x:v>
      </x:c>
      <x:c r="T103" s="142" t="n">
        <x:v>0.12793993373806178</x:v>
      </x:c>
      <x:c r="U103" t="str">
        <x:v>Completed</x:v>
      </x:c>
      <x:c r="V103" s="142" t="n">
        <x:v>0</x:v>
      </x:c>
      <x:c r="W103" t="n">
        <x:v>4.2</x:v>
      </x:c>
    </x:row>
    <x:row r="104">
      <x:c r="A104" t="str">
        <x:v>ORD-10103</x:v>
      </x:c>
      <x:c r="B104" s="138" t="n">
        <x:v>46019</x:v>
      </x:c>
      <x:c r="C104" t="str">
        <x:v>Dec</x:v>
      </x:c>
      <x:c r="D104" t="str">
        <x:v>Q4</x:v>
      </x:c>
      <x:c r="E104" t="str">
        <x:v>North</x:v>
      </x:c>
      <x:c r="F104" t="str">
        <x:v>Jaipur</x:v>
      </x:c>
      <x:c r="G104" t="str">
        <x:v>Neha Verma</x:v>
      </x:c>
      <x:c r="H104" t="str">
        <x:v>Accessories</x:v>
      </x:c>
      <x:c r="I104" t="str">
        <x:v>Keyboard</x:v>
      </x:c>
      <x:c r="J104" t="n">
        <x:v>9</x:v>
      </x:c>
      <x:c r="K104" s="140" t="n">
        <x:v>3920</x:v>
      </x:c>
      <x:c r="L104" s="140" t="n">
        <x:v>35280</x:v>
      </x:c>
      <x:c r="M104" s="140" t="n">
        <x:v>15840</x:v>
      </x:c>
      <x:c r="N104" s="140" t="n">
        <x:v>19440</x:v>
      </x:c>
      <x:c r="O104" s="142" t="n">
        <x:v>0.5510204081632653</x:v>
      </x:c>
      <x:c r="P104" t="str">
        <x:v>Existing</x:v>
      </x:c>
      <x:c r="Q104" t="str">
        <x:v>Offline</x:v>
      </x:c>
      <x:c r="R104" s="140" t="n">
        <x:v>33500</x:v>
      </x:c>
      <x:c r="S104" s="142" t="n">
        <x:v>1.0531343283582089</x:v>
      </x:c>
      <x:c r="T104" s="142" t="n">
        <x:v>0.18364419161364964</x:v>
      </x:c>
      <x:c r="U104" t="str">
        <x:v>Completed</x:v>
      </x:c>
      <x:c r="V104" s="142" t="n">
        <x:v>0.03</x:v>
      </x:c>
      <x:c r="W104" t="n">
        <x:v>5</x:v>
      </x:c>
    </x:row>
    <x:row r="105">
      <x:c r="A105" t="str">
        <x:v>ORD-10104</x:v>
      </x:c>
      <x:c r="B105" s="138" t="n">
        <x:v>45770</x:v>
      </x:c>
      <x:c r="C105" t="str">
        <x:v>Apr</x:v>
      </x:c>
      <x:c r="D105" t="str">
        <x:v>Q2</x:v>
      </x:c>
      <x:c r="E105" t="str">
        <x:v>West</x:v>
      </x:c>
      <x:c r="F105" t="str">
        <x:v>Pune</x:v>
      </x:c>
      <x:c r="G105" t="str">
        <x:v>Kabir Shah</x:v>
      </x:c>
      <x:c r="H105" t="str">
        <x:v>Accessories</x:v>
      </x:c>
      <x:c r="I105" t="str">
        <x:v>Wireless Mouse</x:v>
      </x:c>
      <x:c r="J105" t="n">
        <x:v>2</x:v>
      </x:c>
      <x:c r="K105" s="140" t="n">
        <x:v>2100</x:v>
      </x:c>
      <x:c r="L105" s="140" t="n">
        <x:v>4200</x:v>
      </x:c>
      <x:c r="M105" s="140" t="n">
        <x:v>1860</x:v>
      </x:c>
      <x:c r="N105" s="140" t="n">
        <x:v>2340</x:v>
      </x:c>
      <x:c r="O105" s="142" t="n">
        <x:v>0.5571428571428572</x:v>
      </x:c>
      <x:c r="P105" t="str">
        <x:v>Existing</x:v>
      </x:c>
      <x:c r="Q105" t="str">
        <x:v>Offline</x:v>
      </x:c>
      <x:c r="R105" s="140" t="n">
        <x:v>4100</x:v>
      </x:c>
      <x:c r="S105" s="142" t="n">
        <x:v>1.024390243902439</x:v>
      </x:c>
      <x:c r="T105" s="142" t="n">
        <x:v>-0.05127448346037216</x:v>
      </x:c>
      <x:c r="U105" t="str">
        <x:v>Completed</x:v>
      </x:c>
      <x:c r="V105" s="142" t="n">
        <x:v>0.03</x:v>
      </x:c>
      <x:c r="W105" t="n">
        <x:v>3.5</x:v>
      </x:c>
    </x:row>
    <x:row r="106">
      <x:c r="A106" t="str">
        <x:v>ORD-10105</x:v>
      </x:c>
      <x:c r="B106" s="138" t="n">
        <x:v>45950</x:v>
      </x:c>
      <x:c r="C106" t="str">
        <x:v>Oct</x:v>
      </x:c>
      <x:c r="D106" t="str">
        <x:v>Q4</x:v>
      </x:c>
      <x:c r="E106" t="str">
        <x:v>East</x:v>
      </x:c>
      <x:c r="F106" t="str">
        <x:v>Kolkata</x:v>
      </x:c>
      <x:c r="G106" t="str">
        <x:v>Aarav Sen</x:v>
      </x:c>
      <x:c r="H106" t="str">
        <x:v>Electronics</x:v>
      </x:c>
      <x:c r="I106" t="str">
        <x:v>Smartphone X</x:v>
      </x:c>
      <x:c r="J106" t="n">
        <x:v>5</x:v>
      </x:c>
      <x:c r="K106" s="140" t="n">
        <x:v>32260</x:v>
      </x:c>
      <x:c r="L106" s="140" t="n">
        <x:v>161300</x:v>
      </x:c>
      <x:c r="M106" s="140" t="n">
        <x:v>114000</x:v>
      </x:c>
      <x:c r="N106" s="140" t="n">
        <x:v>47300</x:v>
      </x:c>
      <x:c r="O106" s="142" t="n">
        <x:v>0.29324240545567265</x:v>
      </x:c>
      <x:c r="P106" t="str">
        <x:v>Existing</x:v>
      </x:c>
      <x:c r="Q106" t="str">
        <x:v>Online</x:v>
      </x:c>
      <x:c r="R106" s="140" t="n">
        <x:v>156000</x:v>
      </x:c>
      <x:c r="S106" s="142" t="n">
        <x:v>1.033974358974359</x:v>
      </x:c>
      <x:c r="T106" s="142" t="n">
        <x:v>-0.05398359763720497</x:v>
      </x:c>
      <x:c r="U106" t="str">
        <x:v>Completed</x:v>
      </x:c>
      <x:c r="V106" s="142" t="n">
        <x:v>0</x:v>
      </x:c>
      <x:c r="W106" t="n">
        <x:v>5</x:v>
      </x:c>
    </x:row>
    <x:row r="107">
      <x:c r="A107" t="str">
        <x:v>ORD-10106</x:v>
      </x:c>
      <x:c r="B107" s="138" t="n">
        <x:v>45700</x:v>
      </x:c>
      <x:c r="C107" t="str">
        <x:v>Feb</x:v>
      </x:c>
      <x:c r="D107" t="str">
        <x:v>Q1</x:v>
      </x:c>
      <x:c r="E107" t="str">
        <x:v>West</x:v>
      </x:c>
      <x:c r="F107" t="str">
        <x:v>Pune</x:v>
      </x:c>
      <x:c r="G107" t="str">
        <x:v>Meera Patel</x:v>
      </x:c>
      <x:c r="H107" t="str">
        <x:v>Office</x:v>
      </x:c>
      <x:c r="I107" t="str">
        <x:v>Laser Printer</x:v>
      </x:c>
      <x:c r="J107" t="n">
        <x:v>12</x:v>
      </x:c>
      <x:c r="K107" s="140" t="n">
        <x:v>19950</x:v>
      </x:c>
      <x:c r="L107" s="140" t="n">
        <x:v>239400</x:v>
      </x:c>
      <x:c r="M107" s="140" t="n">
        <x:v>151200</x:v>
      </x:c>
      <x:c r="N107" s="140" t="n">
        <x:v>88200</x:v>
      </x:c>
      <x:c r="O107" s="142" t="n">
        <x:v>0.3684210526315789</x:v>
      </x:c>
      <x:c r="P107" t="str">
        <x:v>Existing</x:v>
      </x:c>
      <x:c r="Q107" t="str">
        <x:v>Online</x:v>
      </x:c>
      <x:c r="R107" s="140" t="n">
        <x:v>229600</x:v>
      </x:c>
      <x:c r="S107" s="142" t="n">
        <x:v>1.0426829268292683</x:v>
      </x:c>
      <x:c r="T107" s="142" t="n">
        <x:v>0.15262513194400595</x:v>
      </x:c>
      <x:c r="U107" t="str">
        <x:v>Pending</x:v>
      </x:c>
      <x:c r="V107" s="142" t="n">
        <x:v>0</x:v>
      </x:c>
      <x:c r="W107" t="n">
        <x:v>3.4</x:v>
      </x:c>
    </x:row>
    <x:row r="108">
      <x:c r="A108" t="str">
        <x:v>ORD-10107</x:v>
      </x:c>
      <x:c r="B108" s="138" t="n">
        <x:v>45843</x:v>
      </x:c>
      <x:c r="C108" t="str">
        <x:v>Jul</x:v>
      </x:c>
      <x:c r="D108" t="str">
        <x:v>Q3</x:v>
      </x:c>
      <x:c r="E108" t="str">
        <x:v>East</x:v>
      </x:c>
      <x:c r="F108" t="str">
        <x:v>Kolkata</x:v>
      </x:c>
      <x:c r="G108" t="str">
        <x:v>Aarav Sen</x:v>
      </x:c>
      <x:c r="H108" t="str">
        <x:v>Office</x:v>
      </x:c>
      <x:c r="I108" t="str">
        <x:v>Laser Printer</x:v>
      </x:c>
      <x:c r="J108" t="n">
        <x:v>5</x:v>
      </x:c>
      <x:c r="K108" s="140" t="n">
        <x:v>19240</x:v>
      </x:c>
      <x:c r="L108" s="140" t="n">
        <x:v>96200</x:v>
      </x:c>
      <x:c r="M108" s="140" t="n">
        <x:v>63000</x:v>
      </x:c>
      <x:c r="N108" s="140" t="n">
        <x:v>33200</x:v>
      </x:c>
      <x:c r="O108" s="142" t="n">
        <x:v>0.34511434511434513</x:v>
      </x:c>
      <x:c r="P108" t="str">
        <x:v>New</x:v>
      </x:c>
      <x:c r="Q108" t="str">
        <x:v>Offline</x:v>
      </x:c>
      <x:c r="R108" s="140" t="n">
        <x:v>104100</x:v>
      </x:c>
      <x:c r="S108" s="142" t="n">
        <x:v>0.9241114313160422</x:v>
      </x:c>
      <x:c r="T108" s="142" t="n">
        <x:v>0.16830997012197202</x:v>
      </x:c>
      <x:c r="U108" t="str">
        <x:v>Completed</x:v>
      </x:c>
      <x:c r="V108" s="142" t="n">
        <x:v>0</x:v>
      </x:c>
      <x:c r="W108" t="n">
        <x:v>3.9</x:v>
      </x:c>
    </x:row>
    <x:row r="109">
      <x:c r="A109" t="str">
        <x:v>ORD-10108</x:v>
      </x:c>
      <x:c r="B109" s="138" t="n">
        <x:v>45840</x:v>
      </x:c>
      <x:c r="C109" t="str">
        <x:v>Jul</x:v>
      </x:c>
      <x:c r="D109" t="str">
        <x:v>Q3</x:v>
      </x:c>
      <x:c r="E109" t="str">
        <x:v>South</x:v>
      </x:c>
      <x:c r="F109" t="str">
        <x:v>Hyderabad</x:v>
      </x:c>
      <x:c r="G109" t="str">
        <x:v>Ananya Iyer</x:v>
      </x:c>
      <x:c r="H109" t="str">
        <x:v>Accessories</x:v>
      </x:c>
      <x:c r="I109" t="str">
        <x:v>Keyboard</x:v>
      </x:c>
      <x:c r="J109" t="n">
        <x:v>4</x:v>
      </x:c>
      <x:c r="K109" s="140" t="n">
        <x:v>3570</x:v>
      </x:c>
      <x:c r="L109" s="140" t="n">
        <x:v>14280</x:v>
      </x:c>
      <x:c r="M109" s="140" t="n">
        <x:v>7040</x:v>
      </x:c>
      <x:c r="N109" s="140" t="n">
        <x:v>7240</x:v>
      </x:c>
      <x:c r="O109" s="142" t="n">
        <x:v>0.5070028011204482</x:v>
      </x:c>
      <x:c r="P109" t="str">
        <x:v>New</x:v>
      </x:c>
      <x:c r="Q109" t="str">
        <x:v>Offline</x:v>
      </x:c>
      <x:c r="R109" s="140" t="n">
        <x:v>16100</x:v>
      </x:c>
      <x:c r="S109" s="142" t="n">
        <x:v>0.8869565217391304</x:v>
      </x:c>
      <x:c r="T109" s="142" t="n">
        <x:v>-0.026569379912606127</x:v>
      </x:c>
      <x:c r="U109" t="str">
        <x:v>Completed</x:v>
      </x:c>
      <x:c r="V109" s="142" t="n">
        <x:v>0.08</x:v>
      </x:c>
      <x:c r="W109" t="n">
        <x:v>4.4</x:v>
      </x:c>
    </x:row>
    <x:row r="110">
      <x:c r="A110" t="str">
        <x:v>ORD-10109</x:v>
      </x:c>
      <x:c r="B110" s="138" t="n">
        <x:v>45928</x:v>
      </x:c>
      <x:c r="C110" t="str">
        <x:v>Sep</x:v>
      </x:c>
      <x:c r="D110" t="str">
        <x:v>Q3</x:v>
      </x:c>
      <x:c r="E110" t="str">
        <x:v>North</x:v>
      </x:c>
      <x:c r="F110" t="str">
        <x:v>Jaipur</x:v>
      </x:c>
      <x:c r="G110" t="str">
        <x:v>Arjun Malhotra</x:v>
      </x:c>
      <x:c r="H110" t="str">
        <x:v>Home</x:v>
      </x:c>
      <x:c r="I110" t="str">
        <x:v>Microwave</x:v>
      </x:c>
      <x:c r="J110" t="n">
        <x:v>10</x:v>
      </x:c>
      <x:c r="K110" s="140" t="n">
        <x:v>13380</x:v>
      </x:c>
      <x:c r="L110" s="140" t="n">
        <x:v>133800</x:v>
      </x:c>
      <x:c r="M110" s="140" t="n">
        <x:v>82500</x:v>
      </x:c>
      <x:c r="N110" s="140" t="n">
        <x:v>51300</x:v>
      </x:c>
      <x:c r="O110" s="142" t="n">
        <x:v>0.3834080717488789</x:v>
      </x:c>
      <x:c r="P110" t="str">
        <x:v>New</x:v>
      </x:c>
      <x:c r="Q110" t="str">
        <x:v>Offline</x:v>
      </x:c>
      <x:c r="R110" s="140" t="n">
        <x:v>131700</x:v>
      </x:c>
      <x:c r="S110" s="142" t="n">
        <x:v>1.0159453302961277</x:v>
      </x:c>
      <x:c r="T110" s="142" t="n">
        <x:v>-0.019966958897770642</x:v>
      </x:c>
      <x:c r="U110" t="str">
        <x:v>Completed</x:v>
      </x:c>
      <x:c r="V110" s="142" t="n">
        <x:v>0.03</x:v>
      </x:c>
      <x:c r="W110" t="n">
        <x:v>4.3</x:v>
      </x:c>
    </x:row>
    <x:row r="111">
      <x:c r="A111" t="str">
        <x:v>ORD-10110</x:v>
      </x:c>
      <x:c r="B111" s="138" t="n">
        <x:v>45804</x:v>
      </x:c>
      <x:c r="C111" t="str">
        <x:v>May</x:v>
      </x:c>
      <x:c r="D111" t="str">
        <x:v>Q2</x:v>
      </x:c>
      <x:c r="E111" t="str">
        <x:v>East</x:v>
      </x:c>
      <x:c r="F111" t="str">
        <x:v>Patna</x:v>
      </x:c>
      <x:c r="G111" t="str">
        <x:v>Aarav Sen</x:v>
      </x:c>
      <x:c r="H111" t="str">
        <x:v>Electronics</x:v>
      </x:c>
      <x:c r="I111" t="str">
        <x:v>Tablet Plus</x:v>
      </x:c>
      <x:c r="J111" t="n">
        <x:v>13</x:v>
      </x:c>
      <x:c r="K111" s="140" t="n">
        <x:v>24570</x:v>
      </x:c>
      <x:c r="L111" s="140" t="n">
        <x:v>319410</x:v>
      </x:c>
      <x:c r="M111" s="140" t="n">
        <x:v>239200</x:v>
      </x:c>
      <x:c r="N111" s="140" t="n">
        <x:v>80210</x:v>
      </x:c>
      <x:c r="O111" s="142" t="n">
        <x:v>0.2511192511192511</x:v>
      </x:c>
      <x:c r="P111" t="str">
        <x:v>Existing</x:v>
      </x:c>
      <x:c r="Q111" t="str">
        <x:v>Online</x:v>
      </x:c>
      <x:c r="R111" s="140" t="n">
        <x:v>325200</x:v>
      </x:c>
      <x:c r="S111" s="142" t="n">
        <x:v>0.9821955719557196</x:v>
      </x:c>
      <x:c r="T111" s="142" t="n">
        <x:v>0.019349163299008848</x:v>
      </x:c>
      <x:c r="U111" t="str">
        <x:v>Completed</x:v>
      </x:c>
      <x:c r="V111" s="142" t="n">
        <x:v>0.08</x:v>
      </x:c>
      <x:c r="W111" t="n">
        <x:v>4.4</x:v>
      </x:c>
    </x:row>
    <x:row r="112">
      <x:c r="A112" t="str">
        <x:v>ORD-10111</x:v>
      </x:c>
      <x:c r="B112" s="138" t="n">
        <x:v>45864</x:v>
      </x:c>
      <x:c r="C112" t="str">
        <x:v>Jul</x:v>
      </x:c>
      <x:c r="D112" t="str">
        <x:v>Q3</x:v>
      </x:c>
      <x:c r="E112" t="str">
        <x:v>West</x:v>
      </x:c>
      <x:c r="F112" t="str">
        <x:v>Ahmedabad</x:v>
      </x:c>
      <x:c r="G112" t="str">
        <x:v>Kabir Shah</x:v>
      </x:c>
      <x:c r="H112" t="str">
        <x:v>Accessories</x:v>
      </x:c>
      <x:c r="I112" t="str">
        <x:v>Headphones</x:v>
      </x:c>
      <x:c r="J112" t="n">
        <x:v>12</x:v>
      </x:c>
      <x:c r="K112" s="140" t="n">
        <x:v>5280</x:v>
      </x:c>
      <x:c r="L112" s="140" t="n">
        <x:v>63360</x:v>
      </x:c>
      <x:c r="M112" s="140" t="n">
        <x:v>35040</x:v>
      </x:c>
      <x:c r="N112" s="140" t="n">
        <x:v>28320</x:v>
      </x:c>
      <x:c r="O112" s="142" t="n">
        <x:v>0.44696969696969696</x:v>
      </x:c>
      <x:c r="P112" t="str">
        <x:v>New</x:v>
      </x:c>
      <x:c r="Q112" t="str">
        <x:v>Offline</x:v>
      </x:c>
      <x:c r="R112" s="140" t="n">
        <x:v>62700</x:v>
      </x:c>
      <x:c r="S112" s="142" t="n">
        <x:v>1.0105263157894737</x:v>
      </x:c>
      <x:c r="T112" s="142" t="n">
        <x:v>-0.0022594749827596905</x:v>
      </x:c>
      <x:c r="U112" t="str">
        <x:v>Completed</x:v>
      </x:c>
      <x:c r="V112" s="142" t="n">
        <x:v>0.08</x:v>
      </x:c>
      <x:c r="W112" t="n">
        <x:v>4.6</x:v>
      </x:c>
    </x:row>
    <x:row r="113">
      <x:c r="A113" t="str">
        <x:v>ORD-10112</x:v>
      </x:c>
      <x:c r="B113" s="138" t="n">
        <x:v>45781</x:v>
      </x:c>
      <x:c r="C113" t="str">
        <x:v>May</x:v>
      </x:c>
      <x:c r="D113" t="str">
        <x:v>Q2</x:v>
      </x:c>
      <x:c r="E113" t="str">
        <x:v>West</x:v>
      </x:c>
      <x:c r="F113" t="str">
        <x:v>Pune</x:v>
      </x:c>
      <x:c r="G113" t="str">
        <x:v>Meera Patel</x:v>
      </x:c>
      <x:c r="H113" t="str">
        <x:v>Office</x:v>
      </x:c>
      <x:c r="I113" t="str">
        <x:v>Laser Printer</x:v>
      </x:c>
      <x:c r="J113" t="n">
        <x:v>16</x:v>
      </x:c>
      <x:c r="K113" s="140" t="n">
        <x:v>19200</x:v>
      </x:c>
      <x:c r="L113" s="140" t="n">
        <x:v>307200</x:v>
      </x:c>
      <x:c r="M113" s="140" t="n">
        <x:v>201600</x:v>
      </x:c>
      <x:c r="N113" s="140" t="n">
        <x:v>105600</x:v>
      </x:c>
      <x:c r="O113" s="142" t="n">
        <x:v>0.34375</x:v>
      </x:c>
      <x:c r="P113" t="str">
        <x:v>New</x:v>
      </x:c>
      <x:c r="Q113" t="str">
        <x:v>Offline</x:v>
      </x:c>
      <x:c r="R113" s="140" t="n">
        <x:v>293600</x:v>
      </x:c>
      <x:c r="S113" s="142" t="n">
        <x:v>1.0463215258855585</x:v>
      </x:c>
      <x:c r="T113" s="142" t="n">
        <x:v>0.180995119063739</x:v>
      </x:c>
      <x:c r="U113" t="str">
        <x:v>Completed</x:v>
      </x:c>
      <x:c r="V113" s="142" t="n">
        <x:v>0</x:v>
      </x:c>
      <x:c r="W113" t="n">
        <x:v>4.2</x:v>
      </x:c>
    </x:row>
    <x:row r="114">
      <x:c r="A114" t="str">
        <x:v>ORD-10113</x:v>
      </x:c>
      <x:c r="B114" s="138" t="n">
        <x:v>45772</x:v>
      </x:c>
      <x:c r="C114" t="str">
        <x:v>Apr</x:v>
      </x:c>
      <x:c r="D114" t="str">
        <x:v>Q2</x:v>
      </x:c>
      <x:c r="E114" t="str">
        <x:v>North</x:v>
      </x:c>
      <x:c r="F114" t="str">
        <x:v>Jaipur</x:v>
      </x:c>
      <x:c r="G114" t="str">
        <x:v>Neha Verma</x:v>
      </x:c>
      <x:c r="H114" t="str">
        <x:v>Office</x:v>
      </x:c>
      <x:c r="I114" t="str">
        <x:v>Standing Desk</x:v>
      </x:c>
      <x:c r="J114" t="n">
        <x:v>1</x:v>
      </x:c>
      <x:c r="K114" s="140" t="n">
        <x:v>21180</x:v>
      </x:c>
      <x:c r="L114" s="140" t="n">
        <x:v>21180</x:v>
      </x:c>
      <x:c r="M114" s="140" t="n">
        <x:v>13900</x:v>
      </x:c>
      <x:c r="N114" s="140" t="n">
        <x:v>7280</x:v>
      </x:c>
      <x:c r="O114" s="142" t="n">
        <x:v>0.3437204910292729</x:v>
      </x:c>
      <x:c r="P114" t="str">
        <x:v>Existing</x:v>
      </x:c>
      <x:c r="Q114" t="str">
        <x:v>Online</x:v>
      </x:c>
      <x:c r="R114" s="140" t="n">
        <x:v>22700</x:v>
      </x:c>
      <x:c r="S114" s="142" t="n">
        <x:v>0.9330396475770925</x:v>
      </x:c>
      <x:c r="T114" s="142" t="n">
        <x:v>0.12061697363988176</x:v>
      </x:c>
      <x:c r="U114" t="str">
        <x:v>Completed</x:v>
      </x:c>
      <x:c r="V114" s="142" t="n">
        <x:v>0</x:v>
      </x:c>
      <x:c r="W114" t="n">
        <x:v>4.8</x:v>
      </x:c>
    </x:row>
    <x:row r="115">
      <x:c r="A115" t="str">
        <x:v>ORD-10114</x:v>
      </x:c>
      <x:c r="B115" s="138" t="n">
        <x:v>45679</x:v>
      </x:c>
      <x:c r="C115" t="str">
        <x:v>Jan</x:v>
      </x:c>
      <x:c r="D115" t="str">
        <x:v>Q1</x:v>
      </x:c>
      <x:c r="E115" t="str">
        <x:v>North</x:v>
      </x:c>
      <x:c r="F115" t="str">
        <x:v>Lucknow</x:v>
      </x:c>
      <x:c r="G115" t="str">
        <x:v>Arjun Malhotra</x:v>
      </x:c>
      <x:c r="H115" t="str">
        <x:v>Electronics</x:v>
      </x:c>
      <x:c r="I115" t="str">
        <x:v>Tablet Plus</x:v>
      </x:c>
      <x:c r="J115" t="n">
        <x:v>10</x:v>
      </x:c>
      <x:c r="K115" s="140" t="n">
        <x:v>25820</x:v>
      </x:c>
      <x:c r="L115" s="140" t="n">
        <x:v>258200</x:v>
      </x:c>
      <x:c r="M115" s="140" t="n">
        <x:v>184000</x:v>
      </x:c>
      <x:c r="N115" s="140" t="n">
        <x:v>74200</x:v>
      </x:c>
      <x:c r="O115" s="142" t="n">
        <x:v>0.28737412858249417</x:v>
      </x:c>
      <x:c r="P115" t="str">
        <x:v>New</x:v>
      </x:c>
      <x:c r="Q115" t="str">
        <x:v>Online</x:v>
      </x:c>
      <x:c r="R115" s="140" t="n">
        <x:v>268500</x:v>
      </x:c>
      <x:c r="S115" s="142" t="n">
        <x:v>0.9616387337057728</x:v>
      </x:c>
      <x:c r="T115" s="142" t="n">
        <x:v>0.1970473731131781</x:v>
      </x:c>
      <x:c r="U115" t="str">
        <x:v>Completed</x:v>
      </x:c>
      <x:c r="V115" s="142" t="n">
        <x:v>0</x:v>
      </x:c>
      <x:c r="W115" t="n">
        <x:v>4</x:v>
      </x:c>
    </x:row>
    <x:row r="116">
      <x:c r="A116" t="str">
        <x:v>ORD-10115</x:v>
      </x:c>
      <x:c r="B116" s="138" t="n">
        <x:v>45720</x:v>
      </x:c>
      <x:c r="C116" t="str">
        <x:v>Mar</x:v>
      </x:c>
      <x:c r="D116" t="str">
        <x:v>Q1</x:v>
      </x:c>
      <x:c r="E116" t="str">
        <x:v>North</x:v>
      </x:c>
      <x:c r="F116" t="str">
        <x:v>Jaipur</x:v>
      </x:c>
      <x:c r="G116" t="str">
        <x:v>Neha Verma</x:v>
      </x:c>
      <x:c r="H116" t="str">
        <x:v>Home</x:v>
      </x:c>
      <x:c r="I116" t="str">
        <x:v>Air Purifier</x:v>
      </x:c>
      <x:c r="J116" t="n">
        <x:v>9</x:v>
      </x:c>
      <x:c r="K116" s="140" t="n">
        <x:v>15240</x:v>
      </x:c>
      <x:c r="L116" s="140" t="n">
        <x:v>137160</x:v>
      </x:c>
      <x:c r="M116" s="140" t="n">
        <x:v>93600</x:v>
      </x:c>
      <x:c r="N116" s="140" t="n">
        <x:v>43560</x:v>
      </x:c>
      <x:c r="O116" s="142" t="n">
        <x:v>0.31758530183727035</x:v>
      </x:c>
      <x:c r="P116" t="str">
        <x:v>Existing</x:v>
      </x:c>
      <x:c r="Q116" t="str">
        <x:v>Online</x:v>
      </x:c>
      <x:c r="R116" s="140" t="n">
        <x:v>153800</x:v>
      </x:c>
      <x:c r="S116" s="142" t="n">
        <x:v>0.8918075422626788</x:v>
      </x:c>
      <x:c r="T116" s="142" t="n">
        <x:v>0.0951572090459029</x:v>
      </x:c>
      <x:c r="U116" t="str">
        <x:v>Cancelled</x:v>
      </x:c>
      <x:c r="V116" s="142" t="n">
        <x:v>0.08</x:v>
      </x:c>
      <x:c r="W116" t="n">
        <x:v>4</x:v>
      </x:c>
    </x:row>
    <x:row r="117">
      <x:c r="A117" t="str">
        <x:v>ORD-10116</x:v>
      </x:c>
      <x:c r="B117" s="138" t="n">
        <x:v>45823</x:v>
      </x:c>
      <x:c r="C117" t="str">
        <x:v>Jun</x:v>
      </x:c>
      <x:c r="D117" t="str">
        <x:v>Q2</x:v>
      </x:c>
      <x:c r="E117" t="str">
        <x:v>East</x:v>
      </x:c>
      <x:c r="F117" t="str">
        <x:v>Bhubaneswar</x:v>
      </x:c>
      <x:c r="G117" t="str">
        <x:v>Riya Das</x:v>
      </x:c>
      <x:c r="H117" t="str">
        <x:v>Electronics</x:v>
      </x:c>
      <x:c r="I117" t="str">
        <x:v>Laptop Pro</x:v>
      </x:c>
      <x:c r="J117" t="n">
        <x:v>15</x:v>
      </x:c>
      <x:c r="K117" s="140" t="n">
        <x:v>72160</x:v>
      </x:c>
      <x:c r="L117" s="140" t="n">
        <x:v>1082400</x:v>
      </x:c>
      <x:c r="M117" s="140" t="n">
        <x:v>787500</x:v>
      </x:c>
      <x:c r="N117" s="140" t="n">
        <x:v>294900</x:v>
      </x:c>
      <x:c r="O117" s="142" t="n">
        <x:v>0.272450110864745</x:v>
      </x:c>
      <x:c r="P117" t="str">
        <x:v>Existing</x:v>
      </x:c>
      <x:c r="Q117" t="str">
        <x:v>Online</x:v>
      </x:c>
      <x:c r="R117" s="140" t="n">
        <x:v>1168100</x:v>
      </x:c>
      <x:c r="S117" s="142" t="n">
        <x:v>0.9266329937505351</x:v>
      </x:c>
      <x:c r="T117" s="142" t="n">
        <x:v>0.09558020420333983</x:v>
      </x:c>
      <x:c r="U117" t="str">
        <x:v>Completed</x:v>
      </x:c>
      <x:c r="V117" s="142" t="n">
        <x:v>0</x:v>
      </x:c>
      <x:c r="W117" t="n">
        <x:v>4.2</x:v>
      </x:c>
    </x:row>
    <x:row r="118">
      <x:c r="A118" t="str">
        <x:v>ORD-10117</x:v>
      </x:c>
      <x:c r="B118" s="138" t="n">
        <x:v>45733</x:v>
      </x:c>
      <x:c r="C118" t="str">
        <x:v>Mar</x:v>
      </x:c>
      <x:c r="D118" t="str">
        <x:v>Q1</x:v>
      </x:c>
      <x:c r="E118" t="str">
        <x:v>North</x:v>
      </x:c>
      <x:c r="F118" t="str">
        <x:v>Lucknow</x:v>
      </x:c>
      <x:c r="G118" t="str">
        <x:v>Neha Verma</x:v>
      </x:c>
      <x:c r="H118" t="str">
        <x:v>Electronics</x:v>
      </x:c>
      <x:c r="I118" t="str">
        <x:v>Smartphone X</x:v>
      </x:c>
      <x:c r="J118" t="n">
        <x:v>9</x:v>
      </x:c>
      <x:c r="K118" s="140" t="n">
        <x:v>30760</x:v>
      </x:c>
      <x:c r="L118" s="140" t="n">
        <x:v>276840</x:v>
      </x:c>
      <x:c r="M118" s="140" t="n">
        <x:v>205200</x:v>
      </x:c>
      <x:c r="N118" s="140" t="n">
        <x:v>71640</x:v>
      </x:c>
      <x:c r="O118" s="142" t="n">
        <x:v>0.258777633289987</x:v>
      </x:c>
      <x:c r="P118" t="str">
        <x:v>Existing</x:v>
      </x:c>
      <x:c r="Q118" t="str">
        <x:v>Offline</x:v>
      </x:c>
      <x:c r="R118" s="140" t="n">
        <x:v>301700</x:v>
      </x:c>
      <x:c r="S118" s="142" t="n">
        <x:v>0.9176002651640702</x:v>
      </x:c>
      <x:c r="T118" s="142" t="n">
        <x:v>-0.07394744172553666</x:v>
      </x:c>
      <x:c r="U118" t="str">
        <x:v>Completed</x:v>
      </x:c>
      <x:c r="V118" s="142" t="n">
        <x:v>0.05</x:v>
      </x:c>
      <x:c r="W118" t="n">
        <x:v>4</x:v>
      </x:c>
    </x:row>
    <x:row r="119">
      <x:c r="A119" t="str">
        <x:v>ORD-10118</x:v>
      </x:c>
      <x:c r="B119" s="138" t="n">
        <x:v>45976</x:v>
      </x:c>
      <x:c r="C119" t="str">
        <x:v>Nov</x:v>
      </x:c>
      <x:c r="D119" t="str">
        <x:v>Q4</x:v>
      </x:c>
      <x:c r="E119" t="str">
        <x:v>South</x:v>
      </x:c>
      <x:c r="F119" t="str">
        <x:v>Chennai</x:v>
      </x:c>
      <x:c r="G119" t="str">
        <x:v>Ananya Iyer</x:v>
      </x:c>
      <x:c r="H119" t="str">
        <x:v>Electronics</x:v>
      </x:c>
      <x:c r="I119" t="str">
        <x:v>Tablet Plus</x:v>
      </x:c>
      <x:c r="J119" t="n">
        <x:v>14</x:v>
      </x:c>
      <x:c r="K119" s="140" t="n">
        <x:v>26760</x:v>
      </x:c>
      <x:c r="L119" s="140" t="n">
        <x:v>374640</x:v>
      </x:c>
      <x:c r="M119" s="140" t="n">
        <x:v>257600</x:v>
      </x:c>
      <x:c r="N119" s="140" t="n">
        <x:v>117040</x:v>
      </x:c>
      <x:c r="O119" s="142" t="n">
        <x:v>0.312406576980568</x:v>
      </x:c>
      <x:c r="P119" t="str">
        <x:v>Existing</x:v>
      </x:c>
      <x:c r="Q119" t="str">
        <x:v>Online</x:v>
      </x:c>
      <x:c r="R119" s="140" t="n">
        <x:v>354800</x:v>
      </x:c>
      <x:c r="S119" s="142" t="n">
        <x:v>1.0559188275084554</x:v>
      </x:c>
      <x:c r="T119" s="142" t="n">
        <x:v>0.01660910629803186</x:v>
      </x:c>
      <x:c r="U119" t="str">
        <x:v>Pending</x:v>
      </x:c>
      <x:c r="V119" s="142" t="n">
        <x:v>0</x:v>
      </x:c>
      <x:c r="W119" t="n">
        <x:v>4</x:v>
      </x:c>
    </x:row>
    <x:row r="120">
      <x:c r="A120" t="str">
        <x:v>ORD-10119</x:v>
      </x:c>
      <x:c r="B120" s="138" t="n">
        <x:v>45681</x:v>
      </x:c>
      <x:c r="C120" t="str">
        <x:v>Jan</x:v>
      </x:c>
      <x:c r="D120" t="str">
        <x:v>Q1</x:v>
      </x:c>
      <x:c r="E120" t="str">
        <x:v>East</x:v>
      </x:c>
      <x:c r="F120" t="str">
        <x:v>Bhubaneswar</x:v>
      </x:c>
      <x:c r="G120" t="str">
        <x:v>Aarav Sen</x:v>
      </x:c>
      <x:c r="H120" t="str">
        <x:v>Accessories</x:v>
      </x:c>
      <x:c r="I120" t="str">
        <x:v>Wireless Mouse</x:v>
      </x:c>
      <x:c r="J120" t="n">
        <x:v>1</x:v>
      </x:c>
      <x:c r="K120" s="140" t="n">
        <x:v>1960</x:v>
      </x:c>
      <x:c r="L120" s="140" t="n">
        <x:v>1960</x:v>
      </x:c>
      <x:c r="M120" s="140" t="n">
        <x:v>930</x:v>
      </x:c>
      <x:c r="N120" s="140" t="n">
        <x:v>1030</x:v>
      </x:c>
      <x:c r="O120" s="142" t="n">
        <x:v>0.5255102040816326</x:v>
      </x:c>
      <x:c r="P120" t="str">
        <x:v>New</x:v>
      </x:c>
      <x:c r="Q120" t="str">
        <x:v>Online</x:v>
      </x:c>
      <x:c r="R120" s="140" t="n">
        <x:v>2300</x:v>
      </x:c>
      <x:c r="S120" s="142" t="n">
        <x:v>0.8521739130434782</x:v>
      </x:c>
      <x:c r="T120" s="142" t="n">
        <x:v>0.0936013906535688</x:v>
      </x:c>
      <x:c r="U120" t="str">
        <x:v>Completed</x:v>
      </x:c>
      <x:c r="V120" s="142" t="n">
        <x:v>0.08</x:v>
      </x:c>
      <x:c r="W120" t="n">
        <x:v>4.5</x:v>
      </x:c>
    </x:row>
    <x:row r="121">
      <x:c r="A121" t="str">
        <x:v>ORD-10120</x:v>
      </x:c>
      <x:c r="B121" s="138" t="n">
        <x:v>45807</x:v>
      </x:c>
      <x:c r="C121" t="str">
        <x:v>May</x:v>
      </x:c>
      <x:c r="D121" t="str">
        <x:v>Q2</x:v>
      </x:c>
      <x:c r="E121" t="str">
        <x:v>East</x:v>
      </x:c>
      <x:c r="F121" t="str">
        <x:v>Patna</x:v>
      </x:c>
      <x:c r="G121" t="str">
        <x:v>Riya Das</x:v>
      </x:c>
      <x:c r="H121" t="str">
        <x:v>Electronics</x:v>
      </x:c>
      <x:c r="I121" t="str">
        <x:v>Laptop Pro</x:v>
      </x:c>
      <x:c r="J121" t="n">
        <x:v>14</x:v>
      </x:c>
      <x:c r="K121" s="140" t="n">
        <x:v>72030</x:v>
      </x:c>
      <x:c r="L121" s="140" t="n">
        <x:v>1008420</x:v>
      </x:c>
      <x:c r="M121" s="140" t="n">
        <x:v>735000</x:v>
      </x:c>
      <x:c r="N121" s="140" t="n">
        <x:v>273420</x:v>
      </x:c>
      <x:c r="O121" s="142" t="n">
        <x:v>0.27113702623906705</x:v>
      </x:c>
      <x:c r="P121" t="str">
        <x:v>Existing</x:v>
      </x:c>
      <x:c r="Q121" t="str">
        <x:v>Online</x:v>
      </x:c>
      <x:c r="R121" s="140" t="n">
        <x:v>1139200</x:v>
      </x:c>
      <x:c r="S121" s="142" t="n">
        <x:v>0.8852001404494382</x:v>
      </x:c>
      <x:c r="T121" s="142" t="n">
        <x:v>0.1610621784571719</x:v>
      </x:c>
      <x:c r="U121" t="str">
        <x:v>Completed</x:v>
      </x:c>
      <x:c r="V121" s="142" t="n">
        <x:v>0</x:v>
      </x:c>
      <x:c r="W121" t="n">
        <x:v>5</x:v>
      </x:c>
    </x:row>
    <x:row r="122">
      <x:c r="A122" t="str">
        <x:v>ORD-10121</x:v>
      </x:c>
      <x:c r="B122" s="138" t="n">
        <x:v>45833</x:v>
      </x:c>
      <x:c r="C122" t="str">
        <x:v>Jun</x:v>
      </x:c>
      <x:c r="D122" t="str">
        <x:v>Q2</x:v>
      </x:c>
      <x:c r="E122" t="str">
        <x:v>East</x:v>
      </x:c>
      <x:c r="F122" t="str">
        <x:v>Patna</x:v>
      </x:c>
      <x:c r="G122" t="str">
        <x:v>Aarav Sen</x:v>
      </x:c>
      <x:c r="H122" t="str">
        <x:v>Accessories</x:v>
      </x:c>
      <x:c r="I122" t="str">
        <x:v>Keyboard</x:v>
      </x:c>
      <x:c r="J122" t="n">
        <x:v>6</x:v>
      </x:c>
      <x:c r="K122" s="140" t="n">
        <x:v>3650</x:v>
      </x:c>
      <x:c r="L122" s="140" t="n">
        <x:v>21900</x:v>
      </x:c>
      <x:c r="M122" s="140" t="n">
        <x:v>10560</x:v>
      </x:c>
      <x:c r="N122" s="140" t="n">
        <x:v>11340</x:v>
      </x:c>
      <x:c r="O122" s="142" t="n">
        <x:v>0.5178082191780822</x:v>
      </x:c>
      <x:c r="P122" t="str">
        <x:v>Existing</x:v>
      </x:c>
      <x:c r="Q122" t="str">
        <x:v>Online</x:v>
      </x:c>
      <x:c r="R122" s="140" t="n">
        <x:v>22700</x:v>
      </x:c>
      <x:c r="S122" s="142" t="n">
        <x:v>0.9647577092511013</x:v>
      </x:c>
      <x:c r="T122" s="142" t="n">
        <x:v>0.190874403376962</x:v>
      </x:c>
      <x:c r="U122" t="str">
        <x:v>Completed</x:v>
      </x:c>
      <x:c r="V122" s="142" t="n">
        <x:v>0.08</x:v>
      </x:c>
      <x:c r="W122" t="n">
        <x:v>4.7</x:v>
      </x:c>
    </x:row>
    <x:row r="123">
      <x:c r="A123" t="str">
        <x:v>ORD-10122</x:v>
      </x:c>
      <x:c r="B123" s="138" t="n">
        <x:v>45791</x:v>
      </x:c>
      <x:c r="C123" t="str">
        <x:v>May</x:v>
      </x:c>
      <x:c r="D123" t="str">
        <x:v>Q2</x:v>
      </x:c>
      <x:c r="E123" t="str">
        <x:v>North</x:v>
      </x:c>
      <x:c r="F123" t="str">
        <x:v>Lucknow</x:v>
      </x:c>
      <x:c r="G123" t="str">
        <x:v>Arjun Malhotra</x:v>
      </x:c>
      <x:c r="H123" t="str">
        <x:v>Accessories</x:v>
      </x:c>
      <x:c r="I123" t="str">
        <x:v>Keyboard</x:v>
      </x:c>
      <x:c r="J123" t="n">
        <x:v>11</x:v>
      </x:c>
      <x:c r="K123" s="140" t="n">
        <x:v>4030</x:v>
      </x:c>
      <x:c r="L123" s="140" t="n">
        <x:v>44330</x:v>
      </x:c>
      <x:c r="M123" s="140" t="n">
        <x:v>19360</x:v>
      </x:c>
      <x:c r="N123" s="140" t="n">
        <x:v>24970</x:v>
      </x:c>
      <x:c r="O123" s="142" t="n">
        <x:v>0.5632754342431762</x:v>
      </x:c>
      <x:c r="P123" t="str">
        <x:v>New</x:v>
      </x:c>
      <x:c r="Q123" t="str">
        <x:v>Offline</x:v>
      </x:c>
      <x:c r="R123" s="140" t="n">
        <x:v>48900</x:v>
      </x:c>
      <x:c r="S123" s="142" t="n">
        <x:v>0.9065439672801636</x:v>
      </x:c>
      <x:c r="T123" s="142" t="n">
        <x:v>0.08105619575276314</x:v>
      </x:c>
      <x:c r="U123" t="str">
        <x:v>Completed</x:v>
      </x:c>
      <x:c r="V123" s="142" t="n">
        <x:v>0</x:v>
      </x:c>
      <x:c r="W123" t="n">
        <x:v>5</x:v>
      </x:c>
    </x:row>
    <x:row r="124">
      <x:c r="A124" t="str">
        <x:v>ORD-10123</x:v>
      </x:c>
      <x:c r="B124" s="138" t="n">
        <x:v>45996</x:v>
      </x:c>
      <x:c r="C124" t="str">
        <x:v>Dec</x:v>
      </x:c>
      <x:c r="D124" t="str">
        <x:v>Q4</x:v>
      </x:c>
      <x:c r="E124" t="str">
        <x:v>South</x:v>
      </x:c>
      <x:c r="F124" t="str">
        <x:v>Bengaluru</x:v>
      </x:c>
      <x:c r="G124" t="str">
        <x:v>Vikram Rao</x:v>
      </x:c>
      <x:c r="H124" t="str">
        <x:v>Accessories</x:v>
      </x:c>
      <x:c r="I124" t="str">
        <x:v>Headphones</x:v>
      </x:c>
      <x:c r="J124" t="n">
        <x:v>10</x:v>
      </x:c>
      <x:c r="K124" s="140" t="n">
        <x:v>5980</x:v>
      </x:c>
      <x:c r="L124" s="140" t="n">
        <x:v>59800</x:v>
      </x:c>
      <x:c r="M124" s="140" t="n">
        <x:v>29200</x:v>
      </x:c>
      <x:c r="N124" s="140" t="n">
        <x:v>30600</x:v>
      </x:c>
      <x:c r="O124" s="142" t="n">
        <x:v>0.5117056856187291</x:v>
      </x:c>
      <x:c r="P124" t="str">
        <x:v>Existing</x:v>
      </x:c>
      <x:c r="Q124" t="str">
        <x:v>Online</x:v>
      </x:c>
      <x:c r="R124" s="140" t="n">
        <x:v>61200</x:v>
      </x:c>
      <x:c r="S124" s="142" t="n">
        <x:v>0.9771241830065359</x:v>
      </x:c>
      <x:c r="T124" s="142" t="n">
        <x:v>-0.07144748335584235</x:v>
      </x:c>
      <x:c r="U124" t="str">
        <x:v>Completed</x:v>
      </x:c>
      <x:c r="V124" s="142" t="n">
        <x:v>0</x:v>
      </x:c>
      <x:c r="W124" t="n">
        <x:v>3.8</x:v>
      </x:c>
    </x:row>
    <x:row r="125">
      <x:c r="A125" t="str">
        <x:v>ORD-10124</x:v>
      </x:c>
      <x:c r="B125" s="138" t="n">
        <x:v>45988</x:v>
      </x:c>
      <x:c r="C125" t="str">
        <x:v>Nov</x:v>
      </x:c>
      <x:c r="D125" t="str">
        <x:v>Q4</x:v>
      </x:c>
      <x:c r="E125" t="str">
        <x:v>West</x:v>
      </x:c>
      <x:c r="F125" t="str">
        <x:v>Mumbai</x:v>
      </x:c>
      <x:c r="G125" t="str">
        <x:v>Kabir Shah</x:v>
      </x:c>
      <x:c r="H125" t="str">
        <x:v>Home</x:v>
      </x:c>
      <x:c r="I125" t="str">
        <x:v>Vacuum Cleaner</x:v>
      </x:c>
      <x:c r="J125" t="n">
        <x:v>9</x:v>
      </x:c>
      <x:c r="K125" s="140" t="n">
        <x:v>11360</x:v>
      </x:c>
      <x:c r="L125" s="140" t="n">
        <x:v>102240</x:v>
      </x:c>
      <x:c r="M125" s="140" t="n">
        <x:v>63900</x:v>
      </x:c>
      <x:c r="N125" s="140" t="n">
        <x:v>38340</x:v>
      </x:c>
      <x:c r="O125" s="142" t="n">
        <x:v>0.375</x:v>
      </x:c>
      <x:c r="P125" t="str">
        <x:v>New</x:v>
      </x:c>
      <x:c r="Q125" t="str">
        <x:v>Offline</x:v>
      </x:c>
      <x:c r="R125" s="140" t="n">
        <x:v>94300</x:v>
      </x:c>
      <x:c r="S125" s="142" t="n">
        <x:v>1.0841993637327678</x:v>
      </x:c>
      <x:c r="T125" s="142" t="n">
        <x:v>0.19142373200425428</x:v>
      </x:c>
      <x:c r="U125" t="str">
        <x:v>Completed</x:v>
      </x:c>
      <x:c r="V125" s="142" t="n">
        <x:v>0.05</x:v>
      </x:c>
      <x:c r="W125" t="n">
        <x:v>4.1</x:v>
      </x:c>
    </x:row>
    <x:row r="126">
      <x:c r="A126" t="str">
        <x:v>ORD-10125</x:v>
      </x:c>
      <x:c r="B126" s="138" t="n">
        <x:v>46005</x:v>
      </x:c>
      <x:c r="C126" t="str">
        <x:v>Dec</x:v>
      </x:c>
      <x:c r="D126" t="str">
        <x:v>Q4</x:v>
      </x:c>
      <x:c r="E126" t="str">
        <x:v>South</x:v>
      </x:c>
      <x:c r="F126" t="str">
        <x:v>Hyderabad</x:v>
      </x:c>
      <x:c r="G126" t="str">
        <x:v>Vikram Rao</x:v>
      </x:c>
      <x:c r="H126" t="str">
        <x:v>Home</x:v>
      </x:c>
      <x:c r="I126" t="str">
        <x:v>Air Purifier</x:v>
      </x:c>
      <x:c r="J126" t="n">
        <x:v>7</x:v>
      </x:c>
      <x:c r="K126" s="140" t="n">
        <x:v>15370</x:v>
      </x:c>
      <x:c r="L126" s="140" t="n">
        <x:v>107590</x:v>
      </x:c>
      <x:c r="M126" s="140" t="n">
        <x:v>72800</x:v>
      </x:c>
      <x:c r="N126" s="140" t="n">
        <x:v>34790</x:v>
      </x:c>
      <x:c r="O126" s="142" t="n">
        <x:v>0.32335718932986335</x:v>
      </x:c>
      <x:c r="P126" t="str">
        <x:v>Existing</x:v>
      </x:c>
      <x:c r="Q126" t="str">
        <x:v>Offline</x:v>
      </x:c>
      <x:c r="R126" s="140" t="n">
        <x:v>104300</x:v>
      </x:c>
      <x:c r="S126" s="142" t="n">
        <x:v>1.0315436241610738</x:v>
      </x:c>
      <x:c r="T126" s="142" t="n">
        <x:v>0.13374824178012812</x:v>
      </x:c>
      <x:c r="U126" t="str">
        <x:v>Completed</x:v>
      </x:c>
      <x:c r="V126" s="142" t="n">
        <x:v>0.08</x:v>
      </x:c>
      <x:c r="W126" t="n">
        <x:v>3.9</x:v>
      </x:c>
    </x:row>
    <x:row r="127">
      <x:c r="A127" t="str">
        <x:v>ORD-10126</x:v>
      </x:c>
      <x:c r="B127" s="138" t="n">
        <x:v>45950</x:v>
      </x:c>
      <x:c r="C127" t="str">
        <x:v>Oct</x:v>
      </x:c>
      <x:c r="D127" t="str">
        <x:v>Q4</x:v>
      </x:c>
      <x:c r="E127" t="str">
        <x:v>North</x:v>
      </x:c>
      <x:c r="F127" t="str">
        <x:v>Delhi</x:v>
      </x:c>
      <x:c r="G127" t="str">
        <x:v>Arjun Malhotra</x:v>
      </x:c>
      <x:c r="H127" t="str">
        <x:v>Office</x:v>
      </x:c>
      <x:c r="I127" t="str">
        <x:v>Ergonomic Chair</x:v>
      </x:c>
      <x:c r="J127" t="n">
        <x:v>16</x:v>
      </x:c>
      <x:c r="K127" s="140" t="n">
        <x:v>11890</x:v>
      </x:c>
      <x:c r="L127" s="140" t="n">
        <x:v>190240</x:v>
      </x:c>
      <x:c r="M127" s="140" t="n">
        <x:v>121600</x:v>
      </x:c>
      <x:c r="N127" s="140" t="n">
        <x:v>68640</x:v>
      </x:c>
      <x:c r="O127" s="142" t="n">
        <x:v>0.3608074011774601</x:v>
      </x:c>
      <x:c r="P127" t="str">
        <x:v>New</x:v>
      </x:c>
      <x:c r="Q127" t="str">
        <x:v>Offline</x:v>
      </x:c>
      <x:c r="R127" s="140" t="n">
        <x:v>194700</x:v>
      </x:c>
      <x:c r="S127" s="142" t="n">
        <x:v>0.9770929635336415</x:v>
      </x:c>
      <x:c r="T127" s="142" t="n">
        <x:v>0.06318861161956808</x:v>
      </x:c>
      <x:c r="U127" t="str">
        <x:v>Completed</x:v>
      </x:c>
      <x:c r="V127" s="142" t="n">
        <x:v>0.08</x:v>
      </x:c>
      <x:c r="W127" t="n">
        <x:v>3.4</x:v>
      </x:c>
    </x:row>
    <x:row r="128">
      <x:c r="A128" t="str">
        <x:v>ORD-10127</x:v>
      </x:c>
      <x:c r="B128" s="138" t="n">
        <x:v>45949</x:v>
      </x:c>
      <x:c r="C128" t="str">
        <x:v>Oct</x:v>
      </x:c>
      <x:c r="D128" t="str">
        <x:v>Q4</x:v>
      </x:c>
      <x:c r="E128" t="str">
        <x:v>East</x:v>
      </x:c>
      <x:c r="F128" t="str">
        <x:v>Kolkata</x:v>
      </x:c>
      <x:c r="G128" t="str">
        <x:v>Aarav Sen</x:v>
      </x:c>
      <x:c r="H128" t="str">
        <x:v>Electronics</x:v>
      </x:c>
      <x:c r="I128" t="str">
        <x:v>Smartphone X</x:v>
      </x:c>
      <x:c r="J128" t="n">
        <x:v>7</x:v>
      </x:c>
      <x:c r="K128" s="140" t="n">
        <x:v>32340</x:v>
      </x:c>
      <x:c r="L128" s="140" t="n">
        <x:v>226380</x:v>
      </x:c>
      <x:c r="M128" s="140" t="n">
        <x:v>159600</x:v>
      </x:c>
      <x:c r="N128" s="140" t="n">
        <x:v>66780</x:v>
      </x:c>
      <x:c r="O128" s="142" t="n">
        <x:v>0.2949907235621521</x:v>
      </x:c>
      <x:c r="P128" t="str">
        <x:v>Existing</x:v>
      </x:c>
      <x:c r="Q128" t="str">
        <x:v>Offline</x:v>
      </x:c>
      <x:c r="R128" s="140" t="n">
        <x:v>248400</x:v>
      </x:c>
      <x:c r="S128" s="142" t="n">
        <x:v>0.9113526570048309</x:v>
      </x:c>
      <x:c r="T128" s="142" t="n">
        <x:v>0.060816131565260986</x:v>
      </x:c>
      <x:c r="U128" t="str">
        <x:v>Completed</x:v>
      </x:c>
      <x:c r="V128" s="142" t="n">
        <x:v>0.03</x:v>
      </x:c>
      <x:c r="W128" t="n">
        <x:v>4.6</x:v>
      </x:c>
    </x:row>
    <x:row r="129">
      <x:c r="A129" t="str">
        <x:v>ORD-10128</x:v>
      </x:c>
      <x:c r="B129" s="138" t="n">
        <x:v>45953</x:v>
      </x:c>
      <x:c r="C129" t="str">
        <x:v>Oct</x:v>
      </x:c>
      <x:c r="D129" t="str">
        <x:v>Q4</x:v>
      </x:c>
      <x:c r="E129" t="str">
        <x:v>East</x:v>
      </x:c>
      <x:c r="F129" t="str">
        <x:v>Kolkata</x:v>
      </x:c>
      <x:c r="G129" t="str">
        <x:v>Aarav Sen</x:v>
      </x:c>
      <x:c r="H129" t="str">
        <x:v>Electronics</x:v>
      </x:c>
      <x:c r="I129" t="str">
        <x:v>Laptop Pro</x:v>
      </x:c>
      <x:c r="J129" t="n">
        <x:v>10</x:v>
      </x:c>
      <x:c r="K129" s="140" t="n">
        <x:v>69000</x:v>
      </x:c>
      <x:c r="L129" s="140" t="n">
        <x:v>690000</x:v>
      </x:c>
      <x:c r="M129" s="140" t="n">
        <x:v>525000</x:v>
      </x:c>
      <x:c r="N129" s="140" t="n">
        <x:v>165000</x:v>
      </x:c>
      <x:c r="O129" s="142" t="n">
        <x:v>0.2391304347826087</x:v>
      </x:c>
      <x:c r="P129" t="str">
        <x:v>Existing</x:v>
      </x:c>
      <x:c r="Q129" t="str">
        <x:v>Online</x:v>
      </x:c>
      <x:c r="R129" s="140" t="n">
        <x:v>736600</x:v>
      </x:c>
      <x:c r="S129" s="142" t="n">
        <x:v>0.9367363562313331</x:v>
      </x:c>
      <x:c r="T129" s="142" t="n">
        <x:v>-0.02212590041327965</x:v>
      </x:c>
      <x:c r="U129" t="str">
        <x:v>Completed</x:v>
      </x:c>
      <x:c r="V129" s="142" t="n">
        <x:v>0.05</x:v>
      </x:c>
      <x:c r="W129" t="n">
        <x:v>3.4</x:v>
      </x:c>
    </x:row>
    <x:row r="130">
      <x:c r="A130" t="str">
        <x:v>ORD-10129</x:v>
      </x:c>
      <x:c r="B130" s="138" t="n">
        <x:v>46015</x:v>
      </x:c>
      <x:c r="C130" t="str">
        <x:v>Dec</x:v>
      </x:c>
      <x:c r="D130" t="str">
        <x:v>Q4</x:v>
      </x:c>
      <x:c r="E130" t="str">
        <x:v>East</x:v>
      </x:c>
      <x:c r="F130" t="str">
        <x:v>Kolkata</x:v>
      </x:c>
      <x:c r="G130" t="str">
        <x:v>Aarav Sen</x:v>
      </x:c>
      <x:c r="H130" t="str">
        <x:v>Home</x:v>
      </x:c>
      <x:c r="I130" t="str">
        <x:v>Microwave</x:v>
      </x:c>
      <x:c r="J130" t="n">
        <x:v>15</x:v>
      </x:c>
      <x:c r="K130" s="140" t="n">
        <x:v>13030</x:v>
      </x:c>
      <x:c r="L130" s="140" t="n">
        <x:v>195450</x:v>
      </x:c>
      <x:c r="M130" s="140" t="n">
        <x:v>123750</x:v>
      </x:c>
      <x:c r="N130" s="140" t="n">
        <x:v>71700</x:v>
      </x:c>
      <x:c r="O130" s="142" t="n">
        <x:v>0.3668457405986186</x:v>
      </x:c>
      <x:c r="P130" t="str">
        <x:v>New</x:v>
      </x:c>
      <x:c r="Q130" t="str">
        <x:v>Online</x:v>
      </x:c>
      <x:c r="R130" s="140" t="n">
        <x:v>187900</x:v>
      </x:c>
      <x:c r="S130" s="142" t="n">
        <x:v>1.0401809473124002</x:v>
      </x:c>
      <x:c r="T130" s="142" t="n">
        <x:v>0.17175020908406413</x:v>
      </x:c>
      <x:c r="U130" t="str">
        <x:v>Completed</x:v>
      </x:c>
      <x:c r="V130" s="142" t="n">
        <x:v>0.08</x:v>
      </x:c>
      <x:c r="W130" t="n">
        <x:v>4.8</x:v>
      </x:c>
    </x:row>
    <x:row r="131">
      <x:c r="A131" t="str">
        <x:v>ORD-10130</x:v>
      </x:c>
      <x:c r="B131" s="138" t="n">
        <x:v>45755</x:v>
      </x:c>
      <x:c r="C131" t="str">
        <x:v>Apr</x:v>
      </x:c>
      <x:c r="D131" t="str">
        <x:v>Q2</x:v>
      </x:c>
      <x:c r="E131" t="str">
        <x:v>North</x:v>
      </x:c>
      <x:c r="F131" t="str">
        <x:v>Delhi</x:v>
      </x:c>
      <x:c r="G131" t="str">
        <x:v>Arjun Malhotra</x:v>
      </x:c>
      <x:c r="H131" t="str">
        <x:v>Office</x:v>
      </x:c>
      <x:c r="I131" t="str">
        <x:v>Standing Desk</x:v>
      </x:c>
      <x:c r="J131" t="n">
        <x:v>16</x:v>
      </x:c>
      <x:c r="K131" s="140" t="n">
        <x:v>20860</x:v>
      </x:c>
      <x:c r="L131" s="140" t="n">
        <x:v>333760</x:v>
      </x:c>
      <x:c r="M131" s="140" t="n">
        <x:v>222400</x:v>
      </x:c>
      <x:c r="N131" s="140" t="n">
        <x:v>111360</x:v>
      </x:c>
      <x:c r="O131" s="142" t="n">
        <x:v>0.3336529242569511</x:v>
      </x:c>
      <x:c r="P131" t="str">
        <x:v>New</x:v>
      </x:c>
      <x:c r="Q131" t="str">
        <x:v>Offline</x:v>
      </x:c>
      <x:c r="R131" s="140" t="n">
        <x:v>325300</x:v>
      </x:c>
      <x:c r="S131" s="142" t="n">
        <x:v>1.026006762988011</x:v>
      </x:c>
      <x:c r="T131" s="142" t="n">
        <x:v>-0.00004442540476730372</x:v>
      </x:c>
      <x:c r="U131" t="str">
        <x:v>Completed</x:v>
      </x:c>
      <x:c r="V131" s="142" t="n">
        <x:v>0</x:v>
      </x:c>
      <x:c r="W131" t="n">
        <x:v>4.1</x:v>
      </x:c>
    </x:row>
    <x:row r="132">
      <x:c r="A132" t="str">
        <x:v>ORD-10131</x:v>
      </x:c>
      <x:c r="B132" s="138" t="n">
        <x:v>45959</x:v>
      </x:c>
      <x:c r="C132" t="str">
        <x:v>Oct</x:v>
      </x:c>
      <x:c r="D132" t="str">
        <x:v>Q4</x:v>
      </x:c>
      <x:c r="E132" t="str">
        <x:v>South</x:v>
      </x:c>
      <x:c r="F132" t="str">
        <x:v>Chennai</x:v>
      </x:c>
      <x:c r="G132" t="str">
        <x:v>Ananya Iyer</x:v>
      </x:c>
      <x:c r="H132" t="str">
        <x:v>Electronics</x:v>
      </x:c>
      <x:c r="I132" t="str">
        <x:v>Smartphone X</x:v>
      </x:c>
      <x:c r="J132" t="n">
        <x:v>4</x:v>
      </x:c>
      <x:c r="K132" s="140" t="n">
        <x:v>29710</x:v>
      </x:c>
      <x:c r="L132" s="140" t="n">
        <x:v>118840</x:v>
      </x:c>
      <x:c r="M132" s="140" t="n">
        <x:v>91200</x:v>
      </x:c>
      <x:c r="N132" s="140" t="n">
        <x:v>27640</x:v>
      </x:c>
      <x:c r="O132" s="142" t="n">
        <x:v>0.23258162234937732</x:v>
      </x:c>
      <x:c r="P132" t="str">
        <x:v>Existing</x:v>
      </x:c>
      <x:c r="Q132" t="str">
        <x:v>Offline</x:v>
      </x:c>
      <x:c r="R132" s="140" t="n">
        <x:v>132700</x:v>
      </x:c>
      <x:c r="S132" s="142" t="n">
        <x:v>0.8955538809344386</x:v>
      </x:c>
      <x:c r="T132" s="142" t="n">
        <x:v>0.18607420329071045</x:v>
      </x:c>
      <x:c r="U132" t="str">
        <x:v>Completed</x:v>
      </x:c>
      <x:c r="V132" s="142" t="n">
        <x:v>0.08</x:v>
      </x:c>
      <x:c r="W132" t="n">
        <x:v>3.8</x:v>
      </x:c>
    </x:row>
    <x:row r="133">
      <x:c r="A133" t="str">
        <x:v>ORD-10132</x:v>
      </x:c>
      <x:c r="B133" s="138" t="n">
        <x:v>45717</x:v>
      </x:c>
      <x:c r="C133" t="str">
        <x:v>Mar</x:v>
      </x:c>
      <x:c r="D133" t="str">
        <x:v>Q1</x:v>
      </x:c>
      <x:c r="E133" t="str">
        <x:v>West</x:v>
      </x:c>
      <x:c r="F133" t="str">
        <x:v>Pune</x:v>
      </x:c>
      <x:c r="G133" t="str">
        <x:v>Kabir Shah</x:v>
      </x:c>
      <x:c r="H133" t="str">
        <x:v>Office</x:v>
      </x:c>
      <x:c r="I133" t="str">
        <x:v>Standing Desk</x:v>
      </x:c>
      <x:c r="J133" t="n">
        <x:v>12</x:v>
      </x:c>
      <x:c r="K133" s="140" t="n">
        <x:v>22040</x:v>
      </x:c>
      <x:c r="L133" s="140" t="n">
        <x:v>264480</x:v>
      </x:c>
      <x:c r="M133" s="140" t="n">
        <x:v>166800</x:v>
      </x:c>
      <x:c r="N133" s="140" t="n">
        <x:v>97680</x:v>
      </x:c>
      <x:c r="O133" s="142" t="n">
        <x:v>0.36932849364791287</x:v>
      </x:c>
      <x:c r="P133" t="str">
        <x:v>Existing</x:v>
      </x:c>
      <x:c r="Q133" t="str">
        <x:v>Offline</x:v>
      </x:c>
      <x:c r="R133" s="140" t="n">
        <x:v>272100</x:v>
      </x:c>
      <x:c r="S133" s="142" t="n">
        <x:v>0.9719955898566703</x:v>
      </x:c>
      <x:c r="T133" s="142" t="n">
        <x:v>0.0673799974529301</x:v>
      </x:c>
      <x:c r="U133" t="str">
        <x:v>Completed</x:v>
      </x:c>
      <x:c r="V133" s="142" t="n">
        <x:v>0</x:v>
      </x:c>
      <x:c r="W133" t="n">
        <x:v>3.9</x:v>
      </x:c>
    </x:row>
    <x:row r="134">
      <x:c r="A134" t="str">
        <x:v>ORD-10133</x:v>
      </x:c>
      <x:c r="B134" s="138" t="n">
        <x:v>45917</x:v>
      </x:c>
      <x:c r="C134" t="str">
        <x:v>Sep</x:v>
      </x:c>
      <x:c r="D134" t="str">
        <x:v>Q3</x:v>
      </x:c>
      <x:c r="E134" t="str">
        <x:v>West</x:v>
      </x:c>
      <x:c r="F134" t="str">
        <x:v>Mumbai</x:v>
      </x:c>
      <x:c r="G134" t="str">
        <x:v>Kabir Shah</x:v>
      </x:c>
      <x:c r="H134" t="str">
        <x:v>Office</x:v>
      </x:c>
      <x:c r="I134" t="str">
        <x:v>Laser Printer</x:v>
      </x:c>
      <x:c r="J134" t="n">
        <x:v>1</x:v>
      </x:c>
      <x:c r="K134" s="140" t="n">
        <x:v>19260</x:v>
      </x:c>
      <x:c r="L134" s="140" t="n">
        <x:v>19260</x:v>
      </x:c>
      <x:c r="M134" s="140" t="n">
        <x:v>12600</x:v>
      </x:c>
      <x:c r="N134" s="140" t="n">
        <x:v>6660</x:v>
      </x:c>
      <x:c r="O134" s="142" t="n">
        <x:v>0.34579439252336447</x:v>
      </x:c>
      <x:c r="P134" t="str">
        <x:v>New</x:v>
      </x:c>
      <x:c r="Q134" t="str">
        <x:v>Offline</x:v>
      </x:c>
      <x:c r="R134" s="140" t="n">
        <x:v>17900</x:v>
      </x:c>
      <x:c r="S134" s="142" t="n">
        <x:v>1.0759776536312848</x:v>
      </x:c>
      <x:c r="T134" s="142" t="n">
        <x:v>0.18066058880522368</x:v>
      </x:c>
      <x:c r="U134" t="str">
        <x:v>Completed</x:v>
      </x:c>
      <x:c r="V134" s="142" t="n">
        <x:v>0.03</x:v>
      </x:c>
      <x:c r="W134" t="n">
        <x:v>3.6</x:v>
      </x:c>
    </x:row>
    <x:row r="135">
      <x:c r="A135" t="str">
        <x:v>ORD-10134</x:v>
      </x:c>
      <x:c r="B135" s="138" t="n">
        <x:v>45754</x:v>
      </x:c>
      <x:c r="C135" t="str">
        <x:v>Apr</x:v>
      </x:c>
      <x:c r="D135" t="str">
        <x:v>Q2</x:v>
      </x:c>
      <x:c r="E135" t="str">
        <x:v>North</x:v>
      </x:c>
      <x:c r="F135" t="str">
        <x:v>Delhi</x:v>
      </x:c>
      <x:c r="G135" t="str">
        <x:v>Arjun Malhotra</x:v>
      </x:c>
      <x:c r="H135" t="str">
        <x:v>Accessories</x:v>
      </x:c>
      <x:c r="I135" t="str">
        <x:v>Wireless Mouse</x:v>
      </x:c>
      <x:c r="J135" t="n">
        <x:v>1</x:v>
      </x:c>
      <x:c r="K135" s="140" t="n">
        <x:v>2010</x:v>
      </x:c>
      <x:c r="L135" s="140" t="n">
        <x:v>2010</x:v>
      </x:c>
      <x:c r="M135" s="140" t="n">
        <x:v>930</x:v>
      </x:c>
      <x:c r="N135" s="140" t="n">
        <x:v>1080</x:v>
      </x:c>
      <x:c r="O135" s="142" t="n">
        <x:v>0.5373134328358209</x:v>
      </x:c>
      <x:c r="P135" t="str">
        <x:v>New</x:v>
      </x:c>
      <x:c r="Q135" t="str">
        <x:v>Online</x:v>
      </x:c>
      <x:c r="R135" s="140" t="n">
        <x:v>2300</x:v>
      </x:c>
      <x:c r="S135" s="142" t="n">
        <x:v>0.8739130434782608</x:v>
      </x:c>
      <x:c r="T135" s="142" t="n">
        <x:v>0.15424417174051136</x:v>
      </x:c>
      <x:c r="U135" t="str">
        <x:v>Completed</x:v>
      </x:c>
      <x:c r="V135" s="142" t="n">
        <x:v>0.08</x:v>
      </x:c>
      <x:c r="W135" t="n">
        <x:v>3.7</x:v>
      </x:c>
    </x:row>
    <x:row r="136">
      <x:c r="A136" t="str">
        <x:v>ORD-10135</x:v>
      </x:c>
      <x:c r="B136" s="138" t="n">
        <x:v>45826</x:v>
      </x:c>
      <x:c r="C136" t="str">
        <x:v>Jun</x:v>
      </x:c>
      <x:c r="D136" t="str">
        <x:v>Q2</x:v>
      </x:c>
      <x:c r="E136" t="str">
        <x:v>West</x:v>
      </x:c>
      <x:c r="F136" t="str">
        <x:v>Ahmedabad</x:v>
      </x:c>
      <x:c r="G136" t="str">
        <x:v>Kabir Shah</x:v>
      </x:c>
      <x:c r="H136" t="str">
        <x:v>Accessories</x:v>
      </x:c>
      <x:c r="I136" t="str">
        <x:v>Headphones</x:v>
      </x:c>
      <x:c r="J136" t="n">
        <x:v>5</x:v>
      </x:c>
      <x:c r="K136" s="140" t="n">
        <x:v>5710</x:v>
      </x:c>
      <x:c r="L136" s="140" t="n">
        <x:v>28550</x:v>
      </x:c>
      <x:c r="M136" s="140" t="n">
        <x:v>14600</x:v>
      </x:c>
      <x:c r="N136" s="140" t="n">
        <x:v>13950</x:v>
      </x:c>
      <x:c r="O136" s="142" t="n">
        <x:v>0.4886164623467601</x:v>
      </x:c>
      <x:c r="P136" t="str">
        <x:v>New</x:v>
      </x:c>
      <x:c r="Q136" t="str">
        <x:v>Online</x:v>
      </x:c>
      <x:c r="R136" s="140" t="n">
        <x:v>33100</x:v>
      </x:c>
      <x:c r="S136" s="142" t="n">
        <x:v>0.8625377643504532</x:v>
      </x:c>
      <x:c r="T136" s="142" t="n">
        <x:v>-0.07278022684205246</x:v>
      </x:c>
      <x:c r="U136" t="str">
        <x:v>Completed</x:v>
      </x:c>
      <x:c r="V136" s="142" t="n">
        <x:v>0.03</x:v>
      </x:c>
      <x:c r="W136" t="n">
        <x:v>3.7</x:v>
      </x:c>
    </x:row>
    <x:row r="137">
      <x:c r="A137" t="str">
        <x:v>ORD-10136</x:v>
      </x:c>
      <x:c r="B137" s="138" t="n">
        <x:v>45756</x:v>
      </x:c>
      <x:c r="C137" t="str">
        <x:v>Apr</x:v>
      </x:c>
      <x:c r="D137" t="str">
        <x:v>Q2</x:v>
      </x:c>
      <x:c r="E137" t="str">
        <x:v>West</x:v>
      </x:c>
      <x:c r="F137" t="str">
        <x:v>Ahmedabad</x:v>
      </x:c>
      <x:c r="G137" t="str">
        <x:v>Meera Patel</x:v>
      </x:c>
      <x:c r="H137" t="str">
        <x:v>Home</x:v>
      </x:c>
      <x:c r="I137" t="str">
        <x:v>Air Purifier</x:v>
      </x:c>
      <x:c r="J137" t="n">
        <x:v>10</x:v>
      </x:c>
      <x:c r="K137" s="140" t="n">
        <x:v>15370</x:v>
      </x:c>
      <x:c r="L137" s="140" t="n">
        <x:v>153700</x:v>
      </x:c>
      <x:c r="M137" s="140" t="n">
        <x:v>104000</x:v>
      </x:c>
      <x:c r="N137" s="140" t="n">
        <x:v>49700</x:v>
      </x:c>
      <x:c r="O137" s="142" t="n">
        <x:v>0.32335718932986335</x:v>
      </x:c>
      <x:c r="P137" t="str">
        <x:v>Existing</x:v>
      </x:c>
      <x:c r="Q137" t="str">
        <x:v>Offline</x:v>
      </x:c>
      <x:c r="R137" s="140" t="n">
        <x:v>149000</x:v>
      </x:c>
      <x:c r="S137" s="142" t="n">
        <x:v>1.0315436241610738</x:v>
      </x:c>
      <x:c r="T137" s="142" t="n">
        <x:v>0.10276566195575774</x:v>
      </x:c>
      <x:c r="U137" t="str">
        <x:v>Completed</x:v>
      </x:c>
      <x:c r="V137" s="142" t="n">
        <x:v>0.08</x:v>
      </x:c>
      <x:c r="W137" t="n">
        <x:v>4.5</x:v>
      </x:c>
    </x:row>
    <x:row r="138">
      <x:c r="A138" t="str">
        <x:v>ORD-10137</x:v>
      </x:c>
      <x:c r="B138" s="138" t="n">
        <x:v>45835</x:v>
      </x:c>
      <x:c r="C138" t="str">
        <x:v>Jun</x:v>
      </x:c>
      <x:c r="D138" t="str">
        <x:v>Q2</x:v>
      </x:c>
      <x:c r="E138" t="str">
        <x:v>West</x:v>
      </x:c>
      <x:c r="F138" t="str">
        <x:v>Ahmedabad</x:v>
      </x:c>
      <x:c r="G138" t="str">
        <x:v>Kabir Shah</x:v>
      </x:c>
      <x:c r="H138" t="str">
        <x:v>Office</x:v>
      </x:c>
      <x:c r="I138" t="str">
        <x:v>Standing Desk</x:v>
      </x:c>
      <x:c r="J138" t="n">
        <x:v>1</x:v>
      </x:c>
      <x:c r="K138" s="140" t="n">
        <x:v>20910</x:v>
      </x:c>
      <x:c r="L138" s="140" t="n">
        <x:v>20910</x:v>
      </x:c>
      <x:c r="M138" s="140" t="n">
        <x:v>13900</x:v>
      </x:c>
      <x:c r="N138" s="140" t="n">
        <x:v>7010</x:v>
      </x:c>
      <x:c r="O138" s="142" t="n">
        <x:v>0.335246293639407</x:v>
      </x:c>
      <x:c r="P138" t="str">
        <x:v>New</x:v>
      </x:c>
      <x:c r="Q138" t="str">
        <x:v>Offline</x:v>
      </x:c>
      <x:c r="R138" s="140" t="n">
        <x:v>19100</x:v>
      </x:c>
      <x:c r="S138" s="142" t="n">
        <x:v>1.094764397905759</x:v>
      </x:c>
      <x:c r="T138" s="142" t="n">
        <x:v>0.129926013035643</x:v>
      </x:c>
      <x:c r="U138" t="str">
        <x:v>Completed</x:v>
      </x:c>
      <x:c r="V138" s="142" t="n">
        <x:v>0.05</x:v>
      </x:c>
      <x:c r="W138" t="n">
        <x:v>4.1</x:v>
      </x:c>
    </x:row>
    <x:row r="139">
      <x:c r="A139" t="str">
        <x:v>ORD-10138</x:v>
      </x:c>
      <x:c r="B139" s="138" t="n">
        <x:v>45719</x:v>
      </x:c>
      <x:c r="C139" t="str">
        <x:v>Mar</x:v>
      </x:c>
      <x:c r="D139" t="str">
        <x:v>Q1</x:v>
      </x:c>
      <x:c r="E139" t="str">
        <x:v>South</x:v>
      </x:c>
      <x:c r="F139" t="str">
        <x:v>Bengaluru</x:v>
      </x:c>
      <x:c r="G139" t="str">
        <x:v>Vikram Rao</x:v>
      </x:c>
      <x:c r="H139" t="str">
        <x:v>Accessories</x:v>
      </x:c>
      <x:c r="I139" t="str">
        <x:v>Keyboard</x:v>
      </x:c>
      <x:c r="J139" t="n">
        <x:v>10</x:v>
      </x:c>
      <x:c r="K139" s="140" t="n">
        <x:v>3840</x:v>
      </x:c>
      <x:c r="L139" s="140" t="n">
        <x:v>38400</x:v>
      </x:c>
      <x:c r="M139" s="140" t="n">
        <x:v>17600</x:v>
      </x:c>
      <x:c r="N139" s="140" t="n">
        <x:v>20800</x:v>
      </x:c>
      <x:c r="O139" s="142" t="n">
        <x:v>0.5416666666666666</x:v>
      </x:c>
      <x:c r="P139" t="str">
        <x:v>Existing</x:v>
      </x:c>
      <x:c r="Q139" t="str">
        <x:v>Offline</x:v>
      </x:c>
      <x:c r="R139" s="140" t="n">
        <x:v>42500</x:v>
      </x:c>
      <x:c r="S139" s="142" t="n">
        <x:v>0.9035294117647059</x:v>
      </x:c>
      <x:c r="T139" s="142" t="n">
        <x:v>-0.04213987717802558</x:v>
      </x:c>
      <x:c r="U139" t="str">
        <x:v>Completed</x:v>
      </x:c>
      <x:c r="V139" s="142" t="n">
        <x:v>0.03</x:v>
      </x:c>
      <x:c r="W139" t="n">
        <x:v>4.2</x:v>
      </x:c>
    </x:row>
    <x:row r="140">
      <x:c r="A140" t="str">
        <x:v>ORD-10139</x:v>
      </x:c>
      <x:c r="B140" s="138" t="n">
        <x:v>45909</x:v>
      </x:c>
      <x:c r="C140" t="str">
        <x:v>Sep</x:v>
      </x:c>
      <x:c r="D140" t="str">
        <x:v>Q3</x:v>
      </x:c>
      <x:c r="E140" t="str">
        <x:v>South</x:v>
      </x:c>
      <x:c r="F140" t="str">
        <x:v>Hyderabad</x:v>
      </x:c>
      <x:c r="G140" t="str">
        <x:v>Vikram Rao</x:v>
      </x:c>
      <x:c r="H140" t="str">
        <x:v>Office</x:v>
      </x:c>
      <x:c r="I140" t="str">
        <x:v>Ergonomic Chair</x:v>
      </x:c>
      <x:c r="J140" t="n">
        <x:v>2</x:v>
      </x:c>
      <x:c r="K140" s="140" t="n">
        <x:v>12230</x:v>
      </x:c>
      <x:c r="L140" s="140" t="n">
        <x:v>24460</x:v>
      </x:c>
      <x:c r="M140" s="140" t="n">
        <x:v>15200</x:v>
      </x:c>
      <x:c r="N140" s="140" t="n">
        <x:v>9260</x:v>
      </x:c>
      <x:c r="O140" s="142" t="n">
        <x:v>0.3785772690106296</x:v>
      </x:c>
      <x:c r="P140" t="str">
        <x:v>New</x:v>
      </x:c>
      <x:c r="Q140" t="str">
        <x:v>Offline</x:v>
      </x:c>
      <x:c r="R140" s="140" t="n">
        <x:v>27600</x:v>
      </x:c>
      <x:c r="S140" s="142" t="n">
        <x:v>0.886231884057971</x:v>
      </x:c>
      <x:c r="T140" s="142" t="n">
        <x:v>0.07451613678371628</x:v>
      </x:c>
      <x:c r="U140" t="str">
        <x:v>Completed</x:v>
      </x:c>
      <x:c r="V140" s="142" t="n">
        <x:v>0</x:v>
      </x:c>
      <x:c r="W140" t="n">
        <x:v>5</x:v>
      </x:c>
    </x:row>
    <x:row r="141">
      <x:c r="A141" t="str">
        <x:v>ORD-10140</x:v>
      </x:c>
      <x:c r="B141" s="138" t="n">
        <x:v>45971</x:v>
      </x:c>
      <x:c r="C141" t="str">
        <x:v>Nov</x:v>
      </x:c>
      <x:c r="D141" t="str">
        <x:v>Q4</x:v>
      </x:c>
      <x:c r="E141" t="str">
        <x:v>North</x:v>
      </x:c>
      <x:c r="F141" t="str">
        <x:v>Jaipur</x:v>
      </x:c>
      <x:c r="G141" t="str">
        <x:v>Arjun Malhotra</x:v>
      </x:c>
      <x:c r="H141" t="str">
        <x:v>Electronics</x:v>
      </x:c>
      <x:c r="I141" t="str">
        <x:v>Tablet Plus</x:v>
      </x:c>
      <x:c r="J141" t="n">
        <x:v>7</x:v>
      </x:c>
      <x:c r="K141" s="140" t="n">
        <x:v>23220</x:v>
      </x:c>
      <x:c r="L141" s="140" t="n">
        <x:v>162540</x:v>
      </x:c>
      <x:c r="M141" s="140" t="n">
        <x:v>128800</x:v>
      </x:c>
      <x:c r="N141" s="140" t="n">
        <x:v>33740</x:v>
      </x:c>
      <x:c r="O141" s="142" t="n">
        <x:v>0.20757967269595176</x:v>
      </x:c>
      <x:c r="P141" t="str">
        <x:v>New</x:v>
      </x:c>
      <x:c r="Q141" t="str">
        <x:v>Online</x:v>
      </x:c>
      <x:c r="R141" s="140" t="n">
        <x:v>188900</x:v>
      </x:c>
      <x:c r="S141" s="142" t="n">
        <x:v>0.8604552673372154</x:v>
      </x:c>
      <x:c r="T141" s="142" t="n">
        <x:v>0.14983177892047994</x:v>
      </x:c>
      <x:c r="U141" t="str">
        <x:v>Completed</x:v>
      </x:c>
      <x:c r="V141" s="142" t="n">
        <x:v>0.08</x:v>
      </x:c>
      <x:c r="W141" t="n">
        <x:v>3.5</x:v>
      </x:c>
    </x:row>
    <x:row r="142">
      <x:c r="A142" t="str">
        <x:v>ORD-10141</x:v>
      </x:c>
      <x:c r="B142" s="138" t="n">
        <x:v>45825</x:v>
      </x:c>
      <x:c r="C142" t="str">
        <x:v>Jun</x:v>
      </x:c>
      <x:c r="D142" t="str">
        <x:v>Q2</x:v>
      </x:c>
      <x:c r="E142" t="str">
        <x:v>South</x:v>
      </x:c>
      <x:c r="F142" t="str">
        <x:v>Chennai</x:v>
      </x:c>
      <x:c r="G142" t="str">
        <x:v>Ananya Iyer</x:v>
      </x:c>
      <x:c r="H142" t="str">
        <x:v>Accessories</x:v>
      </x:c>
      <x:c r="I142" t="str">
        <x:v>Headphones</x:v>
      </x:c>
      <x:c r="J142" t="n">
        <x:v>6</x:v>
      </x:c>
      <x:c r="K142" s="140" t="n">
        <x:v>5770</x:v>
      </x:c>
      <x:c r="L142" s="140" t="n">
        <x:v>34620</x:v>
      </x:c>
      <x:c r="M142" s="140" t="n">
        <x:v>17520</x:v>
      </x:c>
      <x:c r="N142" s="140" t="n">
        <x:v>17100</x:v>
      </x:c>
      <x:c r="O142" s="142" t="n">
        <x:v>0.49393414211438474</x:v>
      </x:c>
      <x:c r="P142" t="str">
        <x:v>New</x:v>
      </x:c>
      <x:c r="Q142" t="str">
        <x:v>Offline</x:v>
      </x:c>
      <x:c r="R142" s="140" t="n">
        <x:v>33000</x:v>
      </x:c>
      <x:c r="S142" s="142" t="n">
        <x:v>1.049090909090909</x:v>
      </x:c>
      <x:c r="T142" s="142" t="n">
        <x:v>0.1486217831908037</x:v>
      </x:c>
      <x:c r="U142" t="str">
        <x:v>Completed</x:v>
      </x:c>
      <x:c r="V142" s="142" t="n">
        <x:v>0.05</x:v>
      </x:c>
      <x:c r="W142" t="n">
        <x:v>4.1</x:v>
      </x:c>
    </x:row>
    <x:row r="143">
      <x:c r="A143" t="str">
        <x:v>ORD-10142</x:v>
      </x:c>
      <x:c r="B143" s="138" t="n">
        <x:v>45753</x:v>
      </x:c>
      <x:c r="C143" t="str">
        <x:v>Apr</x:v>
      </x:c>
      <x:c r="D143" t="str">
        <x:v>Q2</x:v>
      </x:c>
      <x:c r="E143" t="str">
        <x:v>South</x:v>
      </x:c>
      <x:c r="F143" t="str">
        <x:v>Hyderabad</x:v>
      </x:c>
      <x:c r="G143" t="str">
        <x:v>Ananya Iyer</x:v>
      </x:c>
      <x:c r="H143" t="str">
        <x:v>Accessories</x:v>
      </x:c>
      <x:c r="I143" t="str">
        <x:v>Wireless Mouse</x:v>
      </x:c>
      <x:c r="J143" t="n">
        <x:v>3</x:v>
      </x:c>
      <x:c r="K143" s="140" t="n">
        <x:v>2110</x:v>
      </x:c>
      <x:c r="L143" s="140" t="n">
        <x:v>6330</x:v>
      </x:c>
      <x:c r="M143" s="140" t="n">
        <x:v>2790</x:v>
      </x:c>
      <x:c r="N143" s="140" t="n">
        <x:v>3540</x:v>
      </x:c>
      <x:c r="O143" s="142" t="n">
        <x:v>0.5592417061611374</x:v>
      </x:c>
      <x:c r="P143" t="str">
        <x:v>New</x:v>
      </x:c>
      <x:c r="Q143" t="str">
        <x:v>Online</x:v>
      </x:c>
      <x:c r="R143" s="140" t="n">
        <x:v>6500</x:v>
      </x:c>
      <x:c r="S143" s="142" t="n">
        <x:v>0.9738461538461538</x:v>
      </x:c>
      <x:c r="T143" s="142" t="n">
        <x:v>0.03488379389312016</x:v>
      </x:c>
      <x:c r="U143" t="str">
        <x:v>Pending</x:v>
      </x:c>
      <x:c r="V143" s="142" t="n">
        <x:v>0</x:v>
      </x:c>
      <x:c r="W143" t="n">
        <x:v>4.3</x:v>
      </x:c>
    </x:row>
    <x:row r="144">
      <x:c r="A144" t="str">
        <x:v>ORD-10143</x:v>
      </x:c>
      <x:c r="B144" s="138" t="n">
        <x:v>45717</x:v>
      </x:c>
      <x:c r="C144" t="str">
        <x:v>Mar</x:v>
      </x:c>
      <x:c r="D144" t="str">
        <x:v>Q1</x:v>
      </x:c>
      <x:c r="E144" t="str">
        <x:v>West</x:v>
      </x:c>
      <x:c r="F144" t="str">
        <x:v>Pune</x:v>
      </x:c>
      <x:c r="G144" t="str">
        <x:v>Kabir Shah</x:v>
      </x:c>
      <x:c r="H144" t="str">
        <x:v>Electronics</x:v>
      </x:c>
      <x:c r="I144" t="str">
        <x:v>Laptop Pro</x:v>
      </x:c>
      <x:c r="J144" t="n">
        <x:v>4</x:v>
      </x:c>
      <x:c r="K144" s="140" t="n">
        <x:v>69370</x:v>
      </x:c>
      <x:c r="L144" s="140" t="n">
        <x:v>277480</x:v>
      </x:c>
      <x:c r="M144" s="140" t="n">
        <x:v>210000</x:v>
      </x:c>
      <x:c r="N144" s="140" t="n">
        <x:v>67480</x:v>
      </x:c>
      <x:c r="O144" s="142" t="n">
        <x:v>0.24318869828456105</x:v>
      </x:c>
      <x:c r="P144" t="str">
        <x:v>Existing</x:v>
      </x:c>
      <x:c r="Q144" t="str">
        <x:v>Online</x:v>
      </x:c>
      <x:c r="R144" s="140" t="n">
        <x:v>287900</x:v>
      </x:c>
      <x:c r="S144" s="142" t="n">
        <x:v>0.963806877387982</x:v>
      </x:c>
      <x:c r="T144" s="142" t="n">
        <x:v>0.018098318590759915</x:v>
      </x:c>
      <x:c r="U144" t="str">
        <x:v>Completed</x:v>
      </x:c>
      <x:c r="V144" s="142" t="n">
        <x:v>0.08</x:v>
      </x:c>
      <x:c r="W144" t="n">
        <x:v>4.8</x:v>
      </x:c>
    </x:row>
    <x:row r="145">
      <x:c r="A145" t="str">
        <x:v>ORD-10144</x:v>
      </x:c>
      <x:c r="B145" s="138" t="n">
        <x:v>46020</x:v>
      </x:c>
      <x:c r="C145" t="str">
        <x:v>Dec</x:v>
      </x:c>
      <x:c r="D145" t="str">
        <x:v>Q4</x:v>
      </x:c>
      <x:c r="E145" t="str">
        <x:v>East</x:v>
      </x:c>
      <x:c r="F145" t="str">
        <x:v>Kolkata</x:v>
      </x:c>
      <x:c r="G145" t="str">
        <x:v>Aarav Sen</x:v>
      </x:c>
      <x:c r="H145" t="str">
        <x:v>Accessories</x:v>
      </x:c>
      <x:c r="I145" t="str">
        <x:v>Headphones</x:v>
      </x:c>
      <x:c r="J145" t="n">
        <x:v>3</x:v>
      </x:c>
      <x:c r="K145" s="140" t="n">
        <x:v>5710</x:v>
      </x:c>
      <x:c r="L145" s="140" t="n">
        <x:v>17130</x:v>
      </x:c>
      <x:c r="M145" s="140" t="n">
        <x:v>8760</x:v>
      </x:c>
      <x:c r="N145" s="140" t="n">
        <x:v>8370</x:v>
      </x:c>
      <x:c r="O145" s="142" t="n">
        <x:v>0.4886164623467601</x:v>
      </x:c>
      <x:c r="P145" t="str">
        <x:v>Existing</x:v>
      </x:c>
      <x:c r="Q145" t="str">
        <x:v>Online</x:v>
      </x:c>
      <x:c r="R145" s="140" t="n">
        <x:v>18300</x:v>
      </x:c>
      <x:c r="S145" s="142" t="n">
        <x:v>0.9360655737704918</x:v>
      </x:c>
      <x:c r="T145" s="142" t="n">
        <x:v>0.17047114352149723</x:v>
      </x:c>
      <x:c r="U145" t="str">
        <x:v>Completed</x:v>
      </x:c>
      <x:c r="V145" s="142" t="n">
        <x:v>0.05</x:v>
      </x:c>
      <x:c r="W145" t="n">
        <x:v>3.7</x:v>
      </x:c>
    </x:row>
    <x:row r="146">
      <x:c r="A146" t="str">
        <x:v>ORD-10145</x:v>
      </x:c>
      <x:c r="B146" s="138" t="n">
        <x:v>45691</x:v>
      </x:c>
      <x:c r="C146" t="str">
        <x:v>Feb</x:v>
      </x:c>
      <x:c r="D146" t="str">
        <x:v>Q1</x:v>
      </x:c>
      <x:c r="E146" t="str">
        <x:v>West</x:v>
      </x:c>
      <x:c r="F146" t="str">
        <x:v>Pune</x:v>
      </x:c>
      <x:c r="G146" t="str">
        <x:v>Meera Patel</x:v>
      </x:c>
      <x:c r="H146" t="str">
        <x:v>Electronics</x:v>
      </x:c>
      <x:c r="I146" t="str">
        <x:v>Tablet Plus</x:v>
      </x:c>
      <x:c r="J146" t="n">
        <x:v>14</x:v>
      </x:c>
      <x:c r="K146" s="140" t="n">
        <x:v>24870</x:v>
      </x:c>
      <x:c r="L146" s="140" t="n">
        <x:v>348180</x:v>
      </x:c>
      <x:c r="M146" s="140" t="n">
        <x:v>257600</x:v>
      </x:c>
      <x:c r="N146" s="140" t="n">
        <x:v>90580</x:v>
      </x:c>
      <x:c r="O146" s="142" t="n">
        <x:v>0.26015279453156415</x:v>
      </x:c>
      <x:c r="P146" t="str">
        <x:v>Existing</x:v>
      </x:c>
      <x:c r="Q146" t="str">
        <x:v>Online</x:v>
      </x:c>
      <x:c r="R146" s="140" t="n">
        <x:v>376500</x:v>
      </x:c>
      <x:c r="S146" s="142" t="n">
        <x:v>0.9247808764940239</x:v>
      </x:c>
      <x:c r="T146" s="142" t="n">
        <x:v>0.09385925823355172</x:v>
      </x:c>
      <x:c r="U146" t="str">
        <x:v>Completed</x:v>
      </x:c>
      <x:c r="V146" s="142" t="n">
        <x:v>0.03</x:v>
      </x:c>
      <x:c r="W146" t="n">
        <x:v>3.7</x:v>
      </x:c>
    </x:row>
    <x:row r="147">
      <x:c r="A147" t="str">
        <x:v>ORD-10146</x:v>
      </x:c>
      <x:c r="B147" s="138" t="n">
        <x:v>45877</x:v>
      </x:c>
      <x:c r="C147" t="str">
        <x:v>Aug</x:v>
      </x:c>
      <x:c r="D147" t="str">
        <x:v>Q3</x:v>
      </x:c>
      <x:c r="E147" t="str">
        <x:v>South</x:v>
      </x:c>
      <x:c r="F147" t="str">
        <x:v>Bengaluru</x:v>
      </x:c>
      <x:c r="G147" t="str">
        <x:v>Ananya Iyer</x:v>
      </x:c>
      <x:c r="H147" t="str">
        <x:v>Office</x:v>
      </x:c>
      <x:c r="I147" t="str">
        <x:v>Laser Printer</x:v>
      </x:c>
      <x:c r="J147" t="n">
        <x:v>4</x:v>
      </x:c>
      <x:c r="K147" s="140" t="n">
        <x:v>20120</x:v>
      </x:c>
      <x:c r="L147" s="140" t="n">
        <x:v>80480</x:v>
      </x:c>
      <x:c r="M147" s="140" t="n">
        <x:v>50400</x:v>
      </x:c>
      <x:c r="N147" s="140" t="n">
        <x:v>30080</x:v>
      </x:c>
      <x:c r="O147" s="142" t="n">
        <x:v>0.37375745526838966</x:v>
      </x:c>
      <x:c r="P147" t="str">
        <x:v>Existing</x:v>
      </x:c>
      <x:c r="Q147" t="str">
        <x:v>Offline</x:v>
      </x:c>
      <x:c r="R147" s="140" t="n">
        <x:v>76600</x:v>
      </x:c>
      <x:c r="S147" s="142" t="n">
        <x:v>1.0506527415143603</x:v>
      </x:c>
      <x:c r="T147" s="142" t="n">
        <x:v>-0.04800020100658675</x:v>
      </x:c>
      <x:c r="U147" t="str">
        <x:v>Completed</x:v>
      </x:c>
      <x:c r="V147" s="142" t="n">
        <x:v>0</x:v>
      </x:c>
      <x:c r="W147" t="n">
        <x:v>3.6</x:v>
      </x:c>
    </x:row>
    <x:row r="148">
      <x:c r="A148" t="str">
        <x:v>ORD-10147</x:v>
      </x:c>
      <x:c r="B148" s="138" t="n">
        <x:v>45841</x:v>
      </x:c>
      <x:c r="C148" t="str">
        <x:v>Jul</x:v>
      </x:c>
      <x:c r="D148" t="str">
        <x:v>Q3</x:v>
      </x:c>
      <x:c r="E148" t="str">
        <x:v>South</x:v>
      </x:c>
      <x:c r="F148" t="str">
        <x:v>Bengaluru</x:v>
      </x:c>
      <x:c r="G148" t="str">
        <x:v>Vikram Rao</x:v>
      </x:c>
      <x:c r="H148" t="str">
        <x:v>Home</x:v>
      </x:c>
      <x:c r="I148" t="str">
        <x:v>Microwave</x:v>
      </x:c>
      <x:c r="J148" t="n">
        <x:v>7</x:v>
      </x:c>
      <x:c r="K148" s="140" t="n">
        <x:v>13780</x:v>
      </x:c>
      <x:c r="L148" s="140" t="n">
        <x:v>96460</x:v>
      </x:c>
      <x:c r="M148" s="140" t="n">
        <x:v>57750</x:v>
      </x:c>
      <x:c r="N148" s="140" t="n">
        <x:v>38710</x:v>
      </x:c>
      <x:c r="O148" s="142" t="n">
        <x:v>0.40130624092888245</x:v>
      </x:c>
      <x:c r="P148" t="str">
        <x:v>Existing</x:v>
      </x:c>
      <x:c r="Q148" t="str">
        <x:v>Offline</x:v>
      </x:c>
      <x:c r="R148" s="140" t="n">
        <x:v>96900</x:v>
      </x:c>
      <x:c r="S148" s="142" t="n">
        <x:v>0.9954592363261094</x:v>
      </x:c>
      <x:c r="T148" s="142" t="n">
        <x:v>0.1993798046919285</x:v>
      </x:c>
      <x:c r="U148" t="str">
        <x:v>Completed</x:v>
      </x:c>
      <x:c r="V148" s="142" t="n">
        <x:v>0</x:v>
      </x:c>
      <x:c r="W148" t="n">
        <x:v>4.3</x:v>
      </x:c>
    </x:row>
    <x:row r="149">
      <x:c r="A149" t="str">
        <x:v>ORD-10148</x:v>
      </x:c>
      <x:c r="B149" s="138" t="n">
        <x:v>45752</x:v>
      </x:c>
      <x:c r="C149" t="str">
        <x:v>Apr</x:v>
      </x:c>
      <x:c r="D149" t="str">
        <x:v>Q2</x:v>
      </x:c>
      <x:c r="E149" t="str">
        <x:v>North</x:v>
      </x:c>
      <x:c r="F149" t="str">
        <x:v>Delhi</x:v>
      </x:c>
      <x:c r="G149" t="str">
        <x:v>Arjun Malhotra</x:v>
      </x:c>
      <x:c r="H149" t="str">
        <x:v>Electronics</x:v>
      </x:c>
      <x:c r="I149" t="str">
        <x:v>Tablet Plus</x:v>
      </x:c>
      <x:c r="J149" t="n">
        <x:v>8</x:v>
      </x:c>
      <x:c r="K149" s="140" t="n">
        <x:v>25520</x:v>
      </x:c>
      <x:c r="L149" s="140" t="n">
        <x:v>204160</x:v>
      </x:c>
      <x:c r="M149" s="140" t="n">
        <x:v>147200</x:v>
      </x:c>
      <x:c r="N149" s="140" t="n">
        <x:v>56960</x:v>
      </x:c>
      <x:c r="O149" s="142" t="n">
        <x:v>0.27899686520376177</x:v>
      </x:c>
      <x:c r="P149" t="str">
        <x:v>Existing</x:v>
      </x:c>
      <x:c r="Q149" t="str">
        <x:v>Offline</x:v>
      </x:c>
      <x:c r="R149" s="140" t="n">
        <x:v>235900</x:v>
      </x:c>
      <x:c r="S149" s="142" t="n">
        <x:v>0.8654514624841034</x:v>
      </x:c>
      <x:c r="T149" s="142" t="n">
        <x:v>0.015181882600913743</x:v>
      </x:c>
      <x:c r="U149" t="str">
        <x:v>Completed</x:v>
      </x:c>
      <x:c r="V149" s="142" t="n">
        <x:v>0</x:v>
      </x:c>
      <x:c r="W149" t="n">
        <x:v>4.5</x:v>
      </x:c>
    </x:row>
    <x:row r="150">
      <x:c r="A150" t="str">
        <x:v>ORD-10149</x:v>
      </x:c>
      <x:c r="B150" s="138" t="n">
        <x:v>45940</x:v>
      </x:c>
      <x:c r="C150" t="str">
        <x:v>Oct</x:v>
      </x:c>
      <x:c r="D150" t="str">
        <x:v>Q4</x:v>
      </x:c>
      <x:c r="E150" t="str">
        <x:v>West</x:v>
      </x:c>
      <x:c r="F150" t="str">
        <x:v>Ahmedabad</x:v>
      </x:c>
      <x:c r="G150" t="str">
        <x:v>Kabir Shah</x:v>
      </x:c>
      <x:c r="H150" t="str">
        <x:v>Home</x:v>
      </x:c>
      <x:c r="I150" t="str">
        <x:v>Microwave</x:v>
      </x:c>
      <x:c r="J150" t="n">
        <x:v>15</x:v>
      </x:c>
      <x:c r="K150" s="140" t="n">
        <x:v>14060</x:v>
      </x:c>
      <x:c r="L150" s="140" t="n">
        <x:v>210900</x:v>
      </x:c>
      <x:c r="M150" s="140" t="n">
        <x:v>123750</x:v>
      </x:c>
      <x:c r="N150" s="140" t="n">
        <x:v>87150</x:v>
      </x:c>
      <x:c r="O150" s="142" t="n">
        <x:v>0.4132290184921764</x:v>
      </x:c>
      <x:c r="P150" t="str">
        <x:v>New</x:v>
      </x:c>
      <x:c r="Q150" t="str">
        <x:v>Offline</x:v>
      </x:c>
      <x:c r="R150" s="140" t="n">
        <x:v>217300</x:v>
      </x:c>
      <x:c r="S150" s="142" t="n">
        <x:v>0.970547630004602</x:v>
      </x:c>
      <x:c r="T150" s="142" t="n">
        <x:v>-0.06877946527691126</x:v>
      </x:c>
      <x:c r="U150" t="str">
        <x:v>Completed</x:v>
      </x:c>
      <x:c r="V150" s="142" t="n">
        <x:v>0</x:v>
      </x:c>
      <x:c r="W150" t="n">
        <x:v>4.8</x:v>
      </x:c>
    </x:row>
    <x:row r="151">
      <x:c r="A151" t="str">
        <x:v>ORD-10150</x:v>
      </x:c>
      <x:c r="B151" s="138" t="n">
        <x:v>45942</x:v>
      </x:c>
      <x:c r="C151" t="str">
        <x:v>Oct</x:v>
      </x:c>
      <x:c r="D151" t="str">
        <x:v>Q4</x:v>
      </x:c>
      <x:c r="E151" t="str">
        <x:v>North</x:v>
      </x:c>
      <x:c r="F151" t="str">
        <x:v>Delhi</x:v>
      </x:c>
      <x:c r="G151" t="str">
        <x:v>Arjun Malhotra</x:v>
      </x:c>
      <x:c r="H151" t="str">
        <x:v>Home</x:v>
      </x:c>
      <x:c r="I151" t="str">
        <x:v>Vacuum Cleaner</x:v>
      </x:c>
      <x:c r="J151" t="n">
        <x:v>8</x:v>
      </x:c>
      <x:c r="K151" s="140" t="n">
        <x:v>11050</x:v>
      </x:c>
      <x:c r="L151" s="140" t="n">
        <x:v>88400</x:v>
      </x:c>
      <x:c r="M151" s="140" t="n">
        <x:v>56800</x:v>
      </x:c>
      <x:c r="N151" s="140" t="n">
        <x:v>31600</x:v>
      </x:c>
      <x:c r="O151" s="142" t="n">
        <x:v>0.3574660633484163</x:v>
      </x:c>
      <x:c r="P151" t="str">
        <x:v>New</x:v>
      </x:c>
      <x:c r="Q151" t="str">
        <x:v>Online</x:v>
      </x:c>
      <x:c r="R151" s="140" t="n">
        <x:v>85500</x:v>
      </x:c>
      <x:c r="S151" s="142" t="n">
        <x:v>1.0339181286549708</x:v>
      </x:c>
      <x:c r="T151" s="142" t="n">
        <x:v>0.14968009347004352</x:v>
      </x:c>
      <x:c r="U151" t="str">
        <x:v>Completed</x:v>
      </x:c>
      <x:c r="V151" s="142" t="n">
        <x:v>0.05</x:v>
      </x:c>
      <x:c r="W151" t="n">
        <x:v>3.7</x:v>
      </x:c>
    </x:row>
    <x:row r="152">
      <x:c r="A152" t="str">
        <x:v>ORD-10151</x:v>
      </x:c>
      <x:c r="B152" s="138" t="n">
        <x:v>45820</x:v>
      </x:c>
      <x:c r="C152" t="str">
        <x:v>Jun</x:v>
      </x:c>
      <x:c r="D152" t="str">
        <x:v>Q2</x:v>
      </x:c>
      <x:c r="E152" t="str">
        <x:v>North</x:v>
      </x:c>
      <x:c r="F152" t="str">
        <x:v>Delhi</x:v>
      </x:c>
      <x:c r="G152" t="str">
        <x:v>Neha Verma</x:v>
      </x:c>
      <x:c r="H152" t="str">
        <x:v>Home</x:v>
      </x:c>
      <x:c r="I152" t="str">
        <x:v>Air Purifier</x:v>
      </x:c>
      <x:c r="J152" t="n">
        <x:v>10</x:v>
      </x:c>
      <x:c r="K152" s="140" t="n">
        <x:v>17080</x:v>
      </x:c>
      <x:c r="L152" s="140" t="n">
        <x:v>170800</x:v>
      </x:c>
      <x:c r="M152" s="140" t="n">
        <x:v>104000</x:v>
      </x:c>
      <x:c r="N152" s="140" t="n">
        <x:v>66800</x:v>
      </x:c>
      <x:c r="O152" s="142" t="n">
        <x:v>0.3911007025761124</x:v>
      </x:c>
      <x:c r="P152" t="str">
        <x:v>Existing</x:v>
      </x:c>
      <x:c r="Q152" t="str">
        <x:v>Offline</x:v>
      </x:c>
      <x:c r="R152" s="140" t="n">
        <x:v>166300</x:v>
      </x:c>
      <x:c r="S152" s="142" t="n">
        <x:v>1.0270595309681299</x:v>
      </x:c>
      <x:c r="T152" s="142" t="n">
        <x:v>-0.0059285081957936026</x:v>
      </x:c>
      <x:c r="U152" t="str">
        <x:v>Completed</x:v>
      </x:c>
      <x:c r="V152" s="142" t="n">
        <x:v>0</x:v>
      </x:c>
      <x:c r="W152" t="n">
        <x:v>4.6</x:v>
      </x:c>
    </x:row>
    <x:row r="153">
      <x:c r="A153" t="str">
        <x:v>ORD-10152</x:v>
      </x:c>
      <x:c r="B153" s="138" t="n">
        <x:v>45699</x:v>
      </x:c>
      <x:c r="C153" t="str">
        <x:v>Feb</x:v>
      </x:c>
      <x:c r="D153" t="str">
        <x:v>Q1</x:v>
      </x:c>
      <x:c r="E153" t="str">
        <x:v>West</x:v>
      </x:c>
      <x:c r="F153" t="str">
        <x:v>Ahmedabad</x:v>
      </x:c>
      <x:c r="G153" t="str">
        <x:v>Kabir Shah</x:v>
      </x:c>
      <x:c r="H153" t="str">
        <x:v>Home</x:v>
      </x:c>
      <x:c r="I153" t="str">
        <x:v>Air Purifier</x:v>
      </x:c>
      <x:c r="J153" t="n">
        <x:v>7</x:v>
      </x:c>
      <x:c r="K153" s="140" t="n">
        <x:v>16200</x:v>
      </x:c>
      <x:c r="L153" s="140" t="n">
        <x:v>113400</x:v>
      </x:c>
      <x:c r="M153" s="140" t="n">
        <x:v>72800</x:v>
      </x:c>
      <x:c r="N153" s="140" t="n">
        <x:v>40600</x:v>
      </x:c>
      <x:c r="O153" s="142" t="n">
        <x:v>0.35802469135802467</x:v>
      </x:c>
      <x:c r="P153" t="str">
        <x:v>New</x:v>
      </x:c>
      <x:c r="Q153" t="str">
        <x:v>Online</x:v>
      </x:c>
      <x:c r="R153" s="140" t="n">
        <x:v>113300</x:v>
      </x:c>
      <x:c r="S153" s="142" t="n">
        <x:v>1.000882612533098</x:v>
      </x:c>
      <x:c r="T153" s="142" t="n">
        <x:v>-0.01294056159387623</x:v>
      </x:c>
      <x:c r="U153" t="str">
        <x:v>Completed</x:v>
      </x:c>
      <x:c r="V153" s="142" t="n">
        <x:v>0</x:v>
      </x:c>
      <x:c r="W153" t="n">
        <x:v>4.4</x:v>
      </x:c>
    </x:row>
    <x:row r="154">
      <x:c r="A154" t="str">
        <x:v>ORD-10153</x:v>
      </x:c>
      <x:c r="B154" s="138" t="n">
        <x:v>45979</x:v>
      </x:c>
      <x:c r="C154" t="str">
        <x:v>Nov</x:v>
      </x:c>
      <x:c r="D154" t="str">
        <x:v>Q4</x:v>
      </x:c>
      <x:c r="E154" t="str">
        <x:v>South</x:v>
      </x:c>
      <x:c r="F154" t="str">
        <x:v>Hyderabad</x:v>
      </x:c>
      <x:c r="G154" t="str">
        <x:v>Ananya Iyer</x:v>
      </x:c>
      <x:c r="H154" t="str">
        <x:v>Office</x:v>
      </x:c>
      <x:c r="I154" t="str">
        <x:v>Standing Desk</x:v>
      </x:c>
      <x:c r="J154" t="n">
        <x:v>10</x:v>
      </x:c>
      <x:c r="K154" s="140" t="n">
        <x:v>20670</x:v>
      </x:c>
      <x:c r="L154" s="140" t="n">
        <x:v>206700</x:v>
      </x:c>
      <x:c r="M154" s="140" t="n">
        <x:v>139000</x:v>
      </x:c>
      <x:c r="N154" s="140" t="n">
        <x:v>67700</x:v>
      </x:c>
      <x:c r="O154" s="142" t="n">
        <x:v>0.32752781809385584</x:v>
      </x:c>
      <x:c r="P154" t="str">
        <x:v>New</x:v>
      </x:c>
      <x:c r="Q154" t="str">
        <x:v>Online</x:v>
      </x:c>
      <x:c r="R154" s="140" t="n">
        <x:v>198100</x:v>
      </x:c>
      <x:c r="S154" s="142" t="n">
        <x:v>1.0434124179707218</x:v>
      </x:c>
      <x:c r="T154" s="142" t="n">
        <x:v>0.06354869045488944</x:v>
      </x:c>
      <x:c r="U154" t="str">
        <x:v>Completed</x:v>
      </x:c>
      <x:c r="V154" s="142" t="n">
        <x:v>0.03</x:v>
      </x:c>
      <x:c r="W154" t="n">
        <x:v>4.9</x:v>
      </x:c>
    </x:row>
    <x:row r="155">
      <x:c r="A155" t="str">
        <x:v>ORD-10154</x:v>
      </x:c>
      <x:c r="B155" s="138" t="n">
        <x:v>45970</x:v>
      </x:c>
      <x:c r="C155" t="str">
        <x:v>Nov</x:v>
      </x:c>
      <x:c r="D155" t="str">
        <x:v>Q4</x:v>
      </x:c>
      <x:c r="E155" t="str">
        <x:v>North</x:v>
      </x:c>
      <x:c r="F155" t="str">
        <x:v>Lucknow</x:v>
      </x:c>
      <x:c r="G155" t="str">
        <x:v>Arjun Malhotra</x:v>
      </x:c>
      <x:c r="H155" t="str">
        <x:v>Accessories</x:v>
      </x:c>
      <x:c r="I155" t="str">
        <x:v>Wireless Mouse</x:v>
      </x:c>
      <x:c r="J155" t="n">
        <x:v>12</x:v>
      </x:c>
      <x:c r="K155" s="140" t="n">
        <x:v>2140</x:v>
      </x:c>
      <x:c r="L155" s="140" t="n">
        <x:v>25680</x:v>
      </x:c>
      <x:c r="M155" s="140" t="n">
        <x:v>11160</x:v>
      </x:c>
      <x:c r="N155" s="140" t="n">
        <x:v>14520</x:v>
      </x:c>
      <x:c r="O155" s="142" t="n">
        <x:v>0.5654205607476636</x:v>
      </x:c>
      <x:c r="P155" t="str">
        <x:v>New</x:v>
      </x:c>
      <x:c r="Q155" t="str">
        <x:v>Offline</x:v>
      </x:c>
      <x:c r="R155" s="140" t="n">
        <x:v>29700</x:v>
      </x:c>
      <x:c r="S155" s="142" t="n">
        <x:v>0.8646464646464647</x:v>
      </x:c>
      <x:c r="T155" s="142" t="n">
        <x:v>0.047523653416257985</x:v>
      </x:c>
      <x:c r="U155" t="str">
        <x:v>Completed</x:v>
      </x:c>
      <x:c r="V155" s="142" t="n">
        <x:v>0.03</x:v>
      </x:c>
      <x:c r="W155" t="n">
        <x:v>4.2</x:v>
      </x:c>
    </x:row>
    <x:row r="156">
      <x:c r="A156" t="str">
        <x:v>ORD-10155</x:v>
      </x:c>
      <x:c r="B156" s="138" t="n">
        <x:v>45734</x:v>
      </x:c>
      <x:c r="C156" t="str">
        <x:v>Mar</x:v>
      </x:c>
      <x:c r="D156" t="str">
        <x:v>Q1</x:v>
      </x:c>
      <x:c r="E156" t="str">
        <x:v>West</x:v>
      </x:c>
      <x:c r="F156" t="str">
        <x:v>Pune</x:v>
      </x:c>
      <x:c r="G156" t="str">
        <x:v>Meera Patel</x:v>
      </x:c>
      <x:c r="H156" t="str">
        <x:v>Electronics</x:v>
      </x:c>
      <x:c r="I156" t="str">
        <x:v>Laptop Pro</x:v>
      </x:c>
      <x:c r="J156" t="n">
        <x:v>10</x:v>
      </x:c>
      <x:c r="K156" s="140" t="n">
        <x:v>72060</x:v>
      </x:c>
      <x:c r="L156" s="140" t="n">
        <x:v>720600</x:v>
      </x:c>
      <x:c r="M156" s="140" t="n">
        <x:v>525000</x:v>
      </x:c>
      <x:c r="N156" s="140" t="n">
        <x:v>195600</x:v>
      </x:c>
      <x:c r="O156" s="142" t="n">
        <x:v>0.2714404662781016</x:v>
      </x:c>
      <x:c r="P156" t="str">
        <x:v>Existing</x:v>
      </x:c>
      <x:c r="Q156" t="str">
        <x:v>Online</x:v>
      </x:c>
      <x:c r="R156" s="140" t="n">
        <x:v>666800</x:v>
      </x:c>
      <x:c r="S156" s="142" t="n">
        <x:v>1.0806838632273545</x:v>
      </x:c>
      <x:c r="T156" s="142" t="n">
        <x:v>0.18333152240703576</x:v>
      </x:c>
      <x:c r="U156" t="str">
        <x:v>Completed</x:v>
      </x:c>
      <x:c r="V156" s="142" t="n">
        <x:v>0</x:v>
      </x:c>
      <x:c r="W156" t="n">
        <x:v>4.9</x:v>
      </x:c>
    </x:row>
    <x:row r="157">
      <x:c r="A157" t="str">
        <x:v>ORD-10156</x:v>
      </x:c>
      <x:c r="B157" s="138" t="n">
        <x:v>45727</x:v>
      </x:c>
      <x:c r="C157" t="str">
        <x:v>Mar</x:v>
      </x:c>
      <x:c r="D157" t="str">
        <x:v>Q1</x:v>
      </x:c>
      <x:c r="E157" t="str">
        <x:v>North</x:v>
      </x:c>
      <x:c r="F157" t="str">
        <x:v>Jaipur</x:v>
      </x:c>
      <x:c r="G157" t="str">
        <x:v>Arjun Malhotra</x:v>
      </x:c>
      <x:c r="H157" t="str">
        <x:v>Office</x:v>
      </x:c>
      <x:c r="I157" t="str">
        <x:v>Standing Desk</x:v>
      </x:c>
      <x:c r="J157" t="n">
        <x:v>5</x:v>
      </x:c>
      <x:c r="K157" s="140" t="n">
        <x:v>19490</x:v>
      </x:c>
      <x:c r="L157" s="140" t="n">
        <x:v>97450</x:v>
      </x:c>
      <x:c r="M157" s="140" t="n">
        <x:v>69500</x:v>
      </x:c>
      <x:c r="N157" s="140" t="n">
        <x:v>27950</x:v>
      </x:c>
      <x:c r="O157" s="142" t="n">
        <x:v>0.28681375064135456</x:v>
      </x:c>
      <x:c r="P157" t="str">
        <x:v>New</x:v>
      </x:c>
      <x:c r="Q157" t="str">
        <x:v>Online</x:v>
      </x:c>
      <x:c r="R157" s="140" t="n">
        <x:v>111600</x:v>
      </x:c>
      <x:c r="S157" s="142" t="n">
        <x:v>0.8732078853046595</x:v>
      </x:c>
      <x:c r="T157" s="142" t="n">
        <x:v>-0.02463836082890037</x:v>
      </x:c>
      <x:c r="U157" t="str">
        <x:v>Completed</x:v>
      </x:c>
      <x:c r="V157" s="142" t="n">
        <x:v>0.05</x:v>
      </x:c>
      <x:c r="W157" t="n">
        <x:v>3.6</x:v>
      </x:c>
    </x:row>
    <x:row r="158">
      <x:c r="A158" t="str">
        <x:v>ORD-10157</x:v>
      </x:c>
      <x:c r="B158" s="138" t="n">
        <x:v>45935</x:v>
      </x:c>
      <x:c r="C158" t="str">
        <x:v>Oct</x:v>
      </x:c>
      <x:c r="D158" t="str">
        <x:v>Q4</x:v>
      </x:c>
      <x:c r="E158" t="str">
        <x:v>North</x:v>
      </x:c>
      <x:c r="F158" t="str">
        <x:v>Lucknow</x:v>
      </x:c>
      <x:c r="G158" t="str">
        <x:v>Arjun Malhotra</x:v>
      </x:c>
      <x:c r="H158" t="str">
        <x:v>Office</x:v>
      </x:c>
      <x:c r="I158" t="str">
        <x:v>Ergonomic Chair</x:v>
      </x:c>
      <x:c r="J158" t="n">
        <x:v>8</x:v>
      </x:c>
      <x:c r="K158" s="140" t="n">
        <x:v>12180</x:v>
      </x:c>
      <x:c r="L158" s="140" t="n">
        <x:v>97440</x:v>
      </x:c>
      <x:c r="M158" s="140" t="n">
        <x:v>60800</x:v>
      </x:c>
      <x:c r="N158" s="140" t="n">
        <x:v>36640</x:v>
      </x:c>
      <x:c r="O158" s="142" t="n">
        <x:v>0.3760262725779967</x:v>
      </x:c>
      <x:c r="P158" t="str">
        <x:v>New</x:v>
      </x:c>
      <x:c r="Q158" t="str">
        <x:v>Online</x:v>
      </x:c>
      <x:c r="R158" s="140" t="n">
        <x:v>89600</x:v>
      </x:c>
      <x:c r="S158" s="142" t="n">
        <x:v>1.0875</x:v>
      </x:c>
      <x:c r="T158" s="142" t="n">
        <x:v>0.15867772271818503</x:v>
      </x:c>
      <x:c r="U158" t="str">
        <x:v>Completed</x:v>
      </x:c>
      <x:c r="V158" s="142" t="n">
        <x:v>0</x:v>
      </x:c>
      <x:c r="W158" t="n">
        <x:v>3.7</x:v>
      </x:c>
    </x:row>
    <x:row r="159">
      <x:c r="A159" t="str">
        <x:v>ORD-10158</x:v>
      </x:c>
      <x:c r="B159" s="138" t="n">
        <x:v>45898</x:v>
      </x:c>
      <x:c r="C159" t="str">
        <x:v>Aug</x:v>
      </x:c>
      <x:c r="D159" t="str">
        <x:v>Q3</x:v>
      </x:c>
      <x:c r="E159" t="str">
        <x:v>West</x:v>
      </x:c>
      <x:c r="F159" t="str">
        <x:v>Mumbai</x:v>
      </x:c>
      <x:c r="G159" t="str">
        <x:v>Meera Patel</x:v>
      </x:c>
      <x:c r="H159" t="str">
        <x:v>Home</x:v>
      </x:c>
      <x:c r="I159" t="str">
        <x:v>Air Purifier</x:v>
      </x:c>
      <x:c r="J159" t="n">
        <x:v>15</x:v>
      </x:c>
      <x:c r="K159" s="140" t="n">
        <x:v>15920</x:v>
      </x:c>
      <x:c r="L159" s="140" t="n">
        <x:v>238800</x:v>
      </x:c>
      <x:c r="M159" s="140" t="n">
        <x:v>156000</x:v>
      </x:c>
      <x:c r="N159" s="140" t="n">
        <x:v>82800</x:v>
      </x:c>
      <x:c r="O159" s="142" t="n">
        <x:v>0.34673366834170855</x:v>
      </x:c>
      <x:c r="P159" t="str">
        <x:v>New</x:v>
      </x:c>
      <x:c r="Q159" t="str">
        <x:v>Offline</x:v>
      </x:c>
      <x:c r="R159" s="140" t="n">
        <x:v>264600</x:v>
      </x:c>
      <x:c r="S159" s="142" t="n">
        <x:v>0.9024943310657596</x:v>
      </x:c>
      <x:c r="T159" s="142" t="n">
        <x:v>0.1103358781720274</x:v>
      </x:c>
      <x:c r="U159" t="str">
        <x:v>Completed</x:v>
      </x:c>
      <x:c r="V159" s="142" t="n">
        <x:v>0.03</x:v>
      </x:c>
      <x:c r="W159" t="n">
        <x:v>3.9</x:v>
      </x:c>
    </x:row>
    <x:row r="160">
      <x:c r="A160" t="str">
        <x:v>ORD-10159</x:v>
      </x:c>
      <x:c r="B160" s="138" t="n">
        <x:v>45742</x:v>
      </x:c>
      <x:c r="C160" t="str">
        <x:v>Mar</x:v>
      </x:c>
      <x:c r="D160" t="str">
        <x:v>Q1</x:v>
      </x:c>
      <x:c r="E160" t="str">
        <x:v>West</x:v>
      </x:c>
      <x:c r="F160" t="str">
        <x:v>Pune</x:v>
      </x:c>
      <x:c r="G160" t="str">
        <x:v>Kabir Shah</x:v>
      </x:c>
      <x:c r="H160" t="str">
        <x:v>Home</x:v>
      </x:c>
      <x:c r="I160" t="str">
        <x:v>Microwave</x:v>
      </x:c>
      <x:c r="J160" t="n">
        <x:v>7</x:v>
      </x:c>
      <x:c r="K160" s="140" t="n">
        <x:v>13270</x:v>
      </x:c>
      <x:c r="L160" s="140" t="n">
        <x:v>92890</x:v>
      </x:c>
      <x:c r="M160" s="140" t="n">
        <x:v>57750</x:v>
      </x:c>
      <x:c r="N160" s="140" t="n">
        <x:v>35140</x:v>
      </x:c>
      <x:c r="O160" s="142" t="n">
        <x:v>0.37829691032403917</x:v>
      </x:c>
      <x:c r="P160" t="str">
        <x:v>New</x:v>
      </x:c>
      <x:c r="Q160" t="str">
        <x:v>Online</x:v>
      </x:c>
      <x:c r="R160" s="140" t="n">
        <x:v>107300</x:v>
      </x:c>
      <x:c r="S160" s="142" t="n">
        <x:v>0.8657036346691519</x:v>
      </x:c>
      <x:c r="T160" s="142" t="n">
        <x:v>-0.04008533371233716</x:v>
      </x:c>
      <x:c r="U160" t="str">
        <x:v>Completed</x:v>
      </x:c>
      <x:c r="V160" s="142" t="n">
        <x:v>0</x:v>
      </x:c>
      <x:c r="W160" t="n">
        <x:v>4.4</x:v>
      </x:c>
    </x:row>
    <x:row r="161">
      <x:c r="A161" t="str">
        <x:v>ORD-10160</x:v>
      </x:c>
      <x:c r="B161" s="138" t="n">
        <x:v>45968</x:v>
      </x:c>
      <x:c r="C161" t="str">
        <x:v>Nov</x:v>
      </x:c>
      <x:c r="D161" t="str">
        <x:v>Q4</x:v>
      </x:c>
      <x:c r="E161" t="str">
        <x:v>South</x:v>
      </x:c>
      <x:c r="F161" t="str">
        <x:v>Hyderabad</x:v>
      </x:c>
      <x:c r="G161" t="str">
        <x:v>Vikram Rao</x:v>
      </x:c>
      <x:c r="H161" t="str">
        <x:v>Home</x:v>
      </x:c>
      <x:c r="I161" t="str">
        <x:v>Vacuum Cleaner</x:v>
      </x:c>
      <x:c r="J161" t="n">
        <x:v>1</x:v>
      </x:c>
      <x:c r="K161" s="140" t="n">
        <x:v>11170</x:v>
      </x:c>
      <x:c r="L161" s="140" t="n">
        <x:v>11170</x:v>
      </x:c>
      <x:c r="M161" s="140" t="n">
        <x:v>7100</x:v>
      </x:c>
      <x:c r="N161" s="140" t="n">
        <x:v>4070</x:v>
      </x:c>
      <x:c r="O161" s="142" t="n">
        <x:v>0.36436884512085943</x:v>
      </x:c>
      <x:c r="P161" t="str">
        <x:v>New</x:v>
      </x:c>
      <x:c r="Q161" t="str">
        <x:v>Offline</x:v>
      </x:c>
      <x:c r="R161" s="140" t="n">
        <x:v>10700</x:v>
      </x:c>
      <x:c r="S161" s="142" t="n">
        <x:v>1.04392523364486</x:v>
      </x:c>
      <x:c r="T161" s="142" t="n">
        <x:v>0.02144148986340977</x:v>
      </x:c>
      <x:c r="U161" t="str">
        <x:v>Completed</x:v>
      </x:c>
      <x:c r="V161" s="142" t="n">
        <x:v>0</x:v>
      </x:c>
      <x:c r="W161" t="n">
        <x:v>4.4</x:v>
      </x:c>
    </x:row>
    <x:row r="162">
      <x:c r="A162" t="str">
        <x:v>ORD-10161</x:v>
      </x:c>
      <x:c r="B162" s="138" t="n">
        <x:v>45950</x:v>
      </x:c>
      <x:c r="C162" t="str">
        <x:v>Oct</x:v>
      </x:c>
      <x:c r="D162" t="str">
        <x:v>Q4</x:v>
      </x:c>
      <x:c r="E162" t="str">
        <x:v>East</x:v>
      </x:c>
      <x:c r="F162" t="str">
        <x:v>Bhubaneswar</x:v>
      </x:c>
      <x:c r="G162" t="str">
        <x:v>Aarav Sen</x:v>
      </x:c>
      <x:c r="H162" t="str">
        <x:v>Accessories</x:v>
      </x:c>
      <x:c r="I162" t="str">
        <x:v>Headphones</x:v>
      </x:c>
      <x:c r="J162" t="n">
        <x:v>1</x:v>
      </x:c>
      <x:c r="K162" s="140" t="n">
        <x:v>5630</x:v>
      </x:c>
      <x:c r="L162" s="140" t="n">
        <x:v>5630</x:v>
      </x:c>
      <x:c r="M162" s="140" t="n">
        <x:v>2920</x:v>
      </x:c>
      <x:c r="N162" s="140" t="n">
        <x:v>2710</x:v>
      </x:c>
      <x:c r="O162" s="142" t="n">
        <x:v>0.48134991119005327</x:v>
      </x:c>
      <x:c r="P162" t="str">
        <x:v>Existing</x:v>
      </x:c>
      <x:c r="Q162" t="str">
        <x:v>Offline</x:v>
      </x:c>
      <x:c r="R162" s="140" t="n">
        <x:v>5800</x:v>
      </x:c>
      <x:c r="S162" s="142" t="n">
        <x:v>0.9706896551724138</x:v>
      </x:c>
      <x:c r="T162" s="142" t="n">
        <x:v>0.005191485874217583</x:v>
      </x:c>
      <x:c r="U162" t="str">
        <x:v>Completed</x:v>
      </x:c>
      <x:c r="V162" s="142" t="n">
        <x:v>0</x:v>
      </x:c>
      <x:c r="W162" t="n">
        <x:v>3.4</x:v>
      </x:c>
    </x:row>
    <x:row r="163">
      <x:c r="A163" t="str">
        <x:v>ORD-10162</x:v>
      </x:c>
      <x:c r="B163" s="138" t="n">
        <x:v>45910</x:v>
      </x:c>
      <x:c r="C163" t="str">
        <x:v>Sep</x:v>
      </x:c>
      <x:c r="D163" t="str">
        <x:v>Q3</x:v>
      </x:c>
      <x:c r="E163" t="str">
        <x:v>West</x:v>
      </x:c>
      <x:c r="F163" t="str">
        <x:v>Pune</x:v>
      </x:c>
      <x:c r="G163" t="str">
        <x:v>Kabir Shah</x:v>
      </x:c>
      <x:c r="H163" t="str">
        <x:v>Accessories</x:v>
      </x:c>
      <x:c r="I163" t="str">
        <x:v>Keyboard</x:v>
      </x:c>
      <x:c r="J163" t="n">
        <x:v>8</x:v>
      </x:c>
      <x:c r="K163" s="140" t="n">
        <x:v>3900</x:v>
      </x:c>
      <x:c r="L163" s="140" t="n">
        <x:v>31200</x:v>
      </x:c>
      <x:c r="M163" s="140" t="n">
        <x:v>14080</x:v>
      </x:c>
      <x:c r="N163" s="140" t="n">
        <x:v>17120</x:v>
      </x:c>
      <x:c r="O163" s="142" t="n">
        <x:v>0.5487179487179488</x:v>
      </x:c>
      <x:c r="P163" t="str">
        <x:v>New</x:v>
      </x:c>
      <x:c r="Q163" t="str">
        <x:v>Online</x:v>
      </x:c>
      <x:c r="R163" s="140" t="n">
        <x:v>36400</x:v>
      </x:c>
      <x:c r="S163" s="142" t="n">
        <x:v>0.8571428571428571</x:v>
      </x:c>
      <x:c r="T163" s="142" t="n">
        <x:v>-0.0057290646426365055</x:v>
      </x:c>
      <x:c r="U163" t="str">
        <x:v>Completed</x:v>
      </x:c>
      <x:c r="V163" s="142" t="n">
        <x:v>0</x:v>
      </x:c>
      <x:c r="W163" t="n">
        <x:v>3.6</x:v>
      </x:c>
    </x:row>
    <x:row r="164">
      <x:c r="A164" t="str">
        <x:v>ORD-10163</x:v>
      </x:c>
      <x:c r="B164" s="138" t="n">
        <x:v>45706</x:v>
      </x:c>
      <x:c r="C164" t="str">
        <x:v>Feb</x:v>
      </x:c>
      <x:c r="D164" t="str">
        <x:v>Q1</x:v>
      </x:c>
      <x:c r="E164" t="str">
        <x:v>East</x:v>
      </x:c>
      <x:c r="F164" t="str">
        <x:v>Kolkata</x:v>
      </x:c>
      <x:c r="G164" t="str">
        <x:v>Aarav Sen</x:v>
      </x:c>
      <x:c r="H164" t="str">
        <x:v>Home</x:v>
      </x:c>
      <x:c r="I164" t="str">
        <x:v>Microwave</x:v>
      </x:c>
      <x:c r="J164" t="n">
        <x:v>6</x:v>
      </x:c>
      <x:c r="K164" s="140" t="n">
        <x:v>13490</x:v>
      </x:c>
      <x:c r="L164" s="140" t="n">
        <x:v>80940</x:v>
      </x:c>
      <x:c r="M164" s="140" t="n">
        <x:v>49500</x:v>
      </x:c>
      <x:c r="N164" s="140" t="n">
        <x:v>31440</x:v>
      </x:c>
      <x:c r="O164" s="142" t="n">
        <x:v>0.38843587842846555</x:v>
      </x:c>
      <x:c r="P164" t="str">
        <x:v>Existing</x:v>
      </x:c>
      <x:c r="Q164" t="str">
        <x:v>Offline</x:v>
      </x:c>
      <x:c r="R164" s="140" t="n">
        <x:v>90500</x:v>
      </x:c>
      <x:c r="S164" s="142" t="n">
        <x:v>0.8943646408839779</x:v>
      </x:c>
      <x:c r="T164" s="142" t="n">
        <x:v>0.0720149033793326</x:v>
      </x:c>
      <x:c r="U164" t="str">
        <x:v>Completed</x:v>
      </x:c>
      <x:c r="V164" s="142" t="n">
        <x:v>0</x:v>
      </x:c>
      <x:c r="W164" t="n">
        <x:v>3.7</x:v>
      </x:c>
    </x:row>
    <x:row r="165">
      <x:c r="A165" t="str">
        <x:v>ORD-10164</x:v>
      </x:c>
      <x:c r="B165" s="138" t="n">
        <x:v>45984</x:v>
      </x:c>
      <x:c r="C165" t="str">
        <x:v>Nov</x:v>
      </x:c>
      <x:c r="D165" t="str">
        <x:v>Q4</x:v>
      </x:c>
      <x:c r="E165" t="str">
        <x:v>West</x:v>
      </x:c>
      <x:c r="F165" t="str">
        <x:v>Ahmedabad</x:v>
      </x:c>
      <x:c r="G165" t="str">
        <x:v>Kabir Shah</x:v>
      </x:c>
      <x:c r="H165" t="str">
        <x:v>Office</x:v>
      </x:c>
      <x:c r="I165" t="str">
        <x:v>Laser Printer</x:v>
      </x:c>
      <x:c r="J165" t="n">
        <x:v>11</x:v>
      </x:c>
      <x:c r="K165" s="140" t="n">
        <x:v>19200</x:v>
      </x:c>
      <x:c r="L165" s="140" t="n">
        <x:v>211200</x:v>
      </x:c>
      <x:c r="M165" s="140" t="n">
        <x:v>138600</x:v>
      </x:c>
      <x:c r="N165" s="140" t="n">
        <x:v>72600</x:v>
      </x:c>
      <x:c r="O165" s="142" t="n">
        <x:v>0.34375</x:v>
      </x:c>
      <x:c r="P165" t="str">
        <x:v>Existing</x:v>
      </x:c>
      <x:c r="Q165" t="str">
        <x:v>Offline</x:v>
      </x:c>
      <x:c r="R165" s="140" t="n">
        <x:v>243800</x:v>
      </x:c>
      <x:c r="S165" s="142" t="n">
        <x:v>0.8662838392124692</x:v>
      </x:c>
      <x:c r="T165" s="142" t="n">
        <x:v>0.1293146540633554</x:v>
      </x:c>
      <x:c r="U165" t="str">
        <x:v>Completed</x:v>
      </x:c>
      <x:c r="V165" s="142" t="n">
        <x:v>0</x:v>
      </x:c>
      <x:c r="W165" t="n">
        <x:v>4.5</x:v>
      </x:c>
    </x:row>
    <x:row r="166">
      <x:c r="A166" t="str">
        <x:v>ORD-10165</x:v>
      </x:c>
      <x:c r="B166" s="138" t="n">
        <x:v>45858</x:v>
      </x:c>
      <x:c r="C166" t="str">
        <x:v>Jul</x:v>
      </x:c>
      <x:c r="D166" t="str">
        <x:v>Q3</x:v>
      </x:c>
      <x:c r="E166" t="str">
        <x:v>West</x:v>
      </x:c>
      <x:c r="F166" t="str">
        <x:v>Ahmedabad</x:v>
      </x:c>
      <x:c r="G166" t="str">
        <x:v>Kabir Shah</x:v>
      </x:c>
      <x:c r="H166" t="str">
        <x:v>Electronics</x:v>
      </x:c>
      <x:c r="I166" t="str">
        <x:v>Laptop Pro</x:v>
      </x:c>
      <x:c r="J166" t="n">
        <x:v>14</x:v>
      </x:c>
      <x:c r="K166" s="140" t="n">
        <x:v>70780</x:v>
      </x:c>
      <x:c r="L166" s="140" t="n">
        <x:v>990920</x:v>
      </x:c>
      <x:c r="M166" s="140" t="n">
        <x:v>735000</x:v>
      </x:c>
      <x:c r="N166" s="140" t="n">
        <x:v>255920</x:v>
      </x:c>
      <x:c r="O166" s="142" t="n">
        <x:v>0.25826504662333993</x:v>
      </x:c>
      <x:c r="P166" t="str">
        <x:v>New</x:v>
      </x:c>
      <x:c r="Q166" t="str">
        <x:v>Online</x:v>
      </x:c>
      <x:c r="R166" s="140" t="n">
        <x:v>1145500</x:v>
      </x:c>
      <x:c r="S166" s="142" t="n">
        <x:v>0.8650545613269315</x:v>
      </x:c>
      <x:c r="T166" s="142" t="n">
        <x:v>0.15421316565239707</x:v>
      </x:c>
      <x:c r="U166" t="str">
        <x:v>Completed</x:v>
      </x:c>
      <x:c r="V166" s="142" t="n">
        <x:v>0</x:v>
      </x:c>
      <x:c r="W166" t="n">
        <x:v>4.2</x:v>
      </x:c>
    </x:row>
    <x:row r="167">
      <x:c r="A167" t="str">
        <x:v>ORD-10166</x:v>
      </x:c>
      <x:c r="B167" s="138" t="n">
        <x:v>45954</x:v>
      </x:c>
      <x:c r="C167" t="str">
        <x:v>Oct</x:v>
      </x:c>
      <x:c r="D167" t="str">
        <x:v>Q4</x:v>
      </x:c>
      <x:c r="E167" t="str">
        <x:v>South</x:v>
      </x:c>
      <x:c r="F167" t="str">
        <x:v>Hyderabad</x:v>
      </x:c>
      <x:c r="G167" t="str">
        <x:v>Vikram Rao</x:v>
      </x:c>
      <x:c r="H167" t="str">
        <x:v>Accessories</x:v>
      </x:c>
      <x:c r="I167" t="str">
        <x:v>Wireless Mouse</x:v>
      </x:c>
      <x:c r="J167" t="n">
        <x:v>6</x:v>
      </x:c>
      <x:c r="K167" s="140" t="n">
        <x:v>2200</x:v>
      </x:c>
      <x:c r="L167" s="140" t="n">
        <x:v>13200</x:v>
      </x:c>
      <x:c r="M167" s="140" t="n">
        <x:v>5580</x:v>
      </x:c>
      <x:c r="N167" s="140" t="n">
        <x:v>7620</x:v>
      </x:c>
      <x:c r="O167" s="142" t="n">
        <x:v>0.5772727272727273</x:v>
      </x:c>
      <x:c r="P167" t="str">
        <x:v>New</x:v>
      </x:c>
      <x:c r="Q167" t="str">
        <x:v>Offline</x:v>
      </x:c>
      <x:c r="R167" s="140" t="n">
        <x:v>12100</x:v>
      </x:c>
      <x:c r="S167" s="142" t="n">
        <x:v>1.0909090909090908</x:v>
      </x:c>
      <x:c r="T167" s="142" t="n">
        <x:v>0.06567609391513</x:v>
      </x:c>
      <x:c r="U167" t="str">
        <x:v>Completed</x:v>
      </x:c>
      <x:c r="V167" s="142" t="n">
        <x:v>0</x:v>
      </x:c>
      <x:c r="W167" t="n">
        <x:v>3.5</x:v>
      </x:c>
    </x:row>
    <x:row r="168">
      <x:c r="A168" t="str">
        <x:v>ORD-10167</x:v>
      </x:c>
      <x:c r="B168" s="138" t="n">
        <x:v>45841</x:v>
      </x:c>
      <x:c r="C168" t="str">
        <x:v>Jul</x:v>
      </x:c>
      <x:c r="D168" t="str">
        <x:v>Q3</x:v>
      </x:c>
      <x:c r="E168" t="str">
        <x:v>South</x:v>
      </x:c>
      <x:c r="F168" t="str">
        <x:v>Hyderabad</x:v>
      </x:c>
      <x:c r="G168" t="str">
        <x:v>Vikram Rao</x:v>
      </x:c>
      <x:c r="H168" t="str">
        <x:v>Home</x:v>
      </x:c>
      <x:c r="I168" t="str">
        <x:v>Microwave</x:v>
      </x:c>
      <x:c r="J168" t="n">
        <x:v>14</x:v>
      </x:c>
      <x:c r="K168" s="140" t="n">
        <x:v>13520</x:v>
      </x:c>
      <x:c r="L168" s="140" t="n">
        <x:v>189280</x:v>
      </x:c>
      <x:c r="M168" s="140" t="n">
        <x:v>115500</x:v>
      </x:c>
      <x:c r="N168" s="140" t="n">
        <x:v>73780</x:v>
      </x:c>
      <x:c r="O168" s="142" t="n">
        <x:v>0.38979289940828404</x:v>
      </x:c>
      <x:c r="P168" t="str">
        <x:v>Existing</x:v>
      </x:c>
      <x:c r="Q168" t="str">
        <x:v>Offline</x:v>
      </x:c>
      <x:c r="R168" s="140" t="n">
        <x:v>172100</x:v>
      </x:c>
      <x:c r="S168" s="142" t="n">
        <x:v>1.0998256827425916</x:v>
      </x:c>
      <x:c r="T168" s="142" t="n">
        <x:v>0.1843124650331055</x:v>
      </x:c>
      <x:c r="U168" t="str">
        <x:v>Completed</x:v>
      </x:c>
      <x:c r="V168" s="142" t="n">
        <x:v>0.03</x:v>
      </x:c>
      <x:c r="W168" t="n">
        <x:v>3.5</x:v>
      </x:c>
    </x:row>
    <x:row r="169">
      <x:c r="A169" t="str">
        <x:v>ORD-10168</x:v>
      </x:c>
      <x:c r="B169" s="138" t="n">
        <x:v>45901</x:v>
      </x:c>
      <x:c r="C169" t="str">
        <x:v>Sep</x:v>
      </x:c>
      <x:c r="D169" t="str">
        <x:v>Q3</x:v>
      </x:c>
      <x:c r="E169" t="str">
        <x:v>East</x:v>
      </x:c>
      <x:c r="F169" t="str">
        <x:v>Kolkata</x:v>
      </x:c>
      <x:c r="G169" t="str">
        <x:v>Aarav Sen</x:v>
      </x:c>
      <x:c r="H169" t="str">
        <x:v>Electronics</x:v>
      </x:c>
      <x:c r="I169" t="str">
        <x:v>Tablet Plus</x:v>
      </x:c>
      <x:c r="J169" t="n">
        <x:v>6</x:v>
      </x:c>
      <x:c r="K169" s="140" t="n">
        <x:v>25910</x:v>
      </x:c>
      <x:c r="L169" s="140" t="n">
        <x:v>155460</x:v>
      </x:c>
      <x:c r="M169" s="140" t="n">
        <x:v>110400</x:v>
      </x:c>
      <x:c r="N169" s="140" t="n">
        <x:v>45060</x:v>
      </x:c>
      <x:c r="O169" s="142" t="n">
        <x:v>0.28984947896565033</x:v>
      </x:c>
      <x:c r="P169" t="str">
        <x:v>Existing</x:v>
      </x:c>
      <x:c r="Q169" t="str">
        <x:v>Offline</x:v>
      </x:c>
      <x:c r="R169" s="140" t="n">
        <x:v>164400</x:v>
      </x:c>
      <x:c r="S169" s="142" t="n">
        <x:v>0.9456204379562044</x:v>
      </x:c>
      <x:c r="T169" s="142" t="n">
        <x:v>0.054061028536533204</x:v>
      </x:c>
      <x:c r="U169" t="str">
        <x:v>Completed</x:v>
      </x:c>
      <x:c r="V169" s="142" t="n">
        <x:v>0</x:v>
      </x:c>
      <x:c r="W169" t="n">
        <x:v>3.9</x:v>
      </x:c>
    </x:row>
    <x:row r="170">
      <x:c r="A170" t="str">
        <x:v>ORD-10169</x:v>
      </x:c>
      <x:c r="B170" s="138" t="n">
        <x:v>45825</x:v>
      </x:c>
      <x:c r="C170" t="str">
        <x:v>Jun</x:v>
      </x:c>
      <x:c r="D170" t="str">
        <x:v>Q2</x:v>
      </x:c>
      <x:c r="E170" t="str">
        <x:v>North</x:v>
      </x:c>
      <x:c r="F170" t="str">
        <x:v>Delhi</x:v>
      </x:c>
      <x:c r="G170" t="str">
        <x:v>Neha Verma</x:v>
      </x:c>
      <x:c r="H170" t="str">
        <x:v>Office</x:v>
      </x:c>
      <x:c r="I170" t="str">
        <x:v>Laser Printer</x:v>
      </x:c>
      <x:c r="J170" t="n">
        <x:v>4</x:v>
      </x:c>
      <x:c r="K170" s="140" t="n">
        <x:v>19270</x:v>
      </x:c>
      <x:c r="L170" s="140" t="n">
        <x:v>77080</x:v>
      </x:c>
      <x:c r="M170" s="140" t="n">
        <x:v>50400</x:v>
      </x:c>
      <x:c r="N170" s="140" t="n">
        <x:v>26680</x:v>
      </x:c>
      <x:c r="O170" s="142" t="n">
        <x:v>0.3461338868707836</x:v>
      </x:c>
      <x:c r="P170" t="str">
        <x:v>Existing</x:v>
      </x:c>
      <x:c r="Q170" t="str">
        <x:v>Offline</x:v>
      </x:c>
      <x:c r="R170" s="140" t="n">
        <x:v>85300</x:v>
      </x:c>
      <x:c r="S170" s="142" t="n">
        <x:v>0.9036342321219226</x:v>
      </x:c>
      <x:c r="T170" s="142" t="n">
        <x:v>0.11822735184988441</x:v>
      </x:c>
      <x:c r="U170" t="str">
        <x:v>Completed</x:v>
      </x:c>
      <x:c r="V170" s="142" t="n">
        <x:v>0</x:v>
      </x:c>
      <x:c r="W170" t="n">
        <x:v>4.2</x:v>
      </x:c>
    </x:row>
    <x:row r="171">
      <x:c r="A171" t="str">
        <x:v>ORD-10170</x:v>
      </x:c>
      <x:c r="B171" s="138" t="n">
        <x:v>45873</x:v>
      </x:c>
      <x:c r="C171" t="str">
        <x:v>Aug</x:v>
      </x:c>
      <x:c r="D171" t="str">
        <x:v>Q3</x:v>
      </x:c>
      <x:c r="E171" t="str">
        <x:v>South</x:v>
      </x:c>
      <x:c r="F171" t="str">
        <x:v>Hyderabad</x:v>
      </x:c>
      <x:c r="G171" t="str">
        <x:v>Vikram Rao</x:v>
      </x:c>
      <x:c r="H171" t="str">
        <x:v>Accessories</x:v>
      </x:c>
      <x:c r="I171" t="str">
        <x:v>Keyboard</x:v>
      </x:c>
      <x:c r="J171" t="n">
        <x:v>2</x:v>
      </x:c>
      <x:c r="K171" s="140" t="n">
        <x:v>4080</x:v>
      </x:c>
      <x:c r="L171" s="140" t="n">
        <x:v>8160</x:v>
      </x:c>
      <x:c r="M171" s="140" t="n">
        <x:v>3520</x:v>
      </x:c>
      <x:c r="N171" s="140" t="n">
        <x:v>4640</x:v>
      </x:c>
      <x:c r="O171" s="142" t="n">
        <x:v>0.5686274509803921</x:v>
      </x:c>
      <x:c r="P171" t="str">
        <x:v>New</x:v>
      </x:c>
      <x:c r="Q171" t="str">
        <x:v>Online</x:v>
      </x:c>
      <x:c r="R171" s="140" t="n">
        <x:v>7600</x:v>
      </x:c>
      <x:c r="S171" s="142" t="n">
        <x:v>1.0736842105263158</x:v>
      </x:c>
      <x:c r="T171" s="142" t="n">
        <x:v>0.19131268174272043</x:v>
      </x:c>
      <x:c r="U171" t="str">
        <x:v>Completed</x:v>
      </x:c>
      <x:c r="V171" s="142" t="n">
        <x:v>0</x:v>
      </x:c>
      <x:c r="W171" t="n">
        <x:v>4.9</x:v>
      </x:c>
    </x:row>
    <x:row r="172">
      <x:c r="A172" t="str">
        <x:v>ORD-10171</x:v>
      </x:c>
      <x:c r="B172" s="138" t="n">
        <x:v>45803</x:v>
      </x:c>
      <x:c r="C172" t="str">
        <x:v>May</x:v>
      </x:c>
      <x:c r="D172" t="str">
        <x:v>Q2</x:v>
      </x:c>
      <x:c r="E172" t="str">
        <x:v>East</x:v>
      </x:c>
      <x:c r="F172" t="str">
        <x:v>Kolkata</x:v>
      </x:c>
      <x:c r="G172" t="str">
        <x:v>Aarav Sen</x:v>
      </x:c>
      <x:c r="H172" t="str">
        <x:v>Accessories</x:v>
      </x:c>
      <x:c r="I172" t="str">
        <x:v>Keyboard</x:v>
      </x:c>
      <x:c r="J172" t="n">
        <x:v>5</x:v>
      </x:c>
      <x:c r="K172" s="140" t="n">
        <x:v>3600</x:v>
      </x:c>
      <x:c r="L172" s="140" t="n">
        <x:v>18000</x:v>
      </x:c>
      <x:c r="M172" s="140" t="n">
        <x:v>8800</x:v>
      </x:c>
      <x:c r="N172" s="140" t="n">
        <x:v>9200</x:v>
      </x:c>
      <x:c r="O172" s="142" t="n">
        <x:v>0.5111111111111111</x:v>
      </x:c>
      <x:c r="P172" t="str">
        <x:v>New</x:v>
      </x:c>
      <x:c r="Q172" t="str">
        <x:v>Offline</x:v>
      </x:c>
      <x:c r="R172" s="140" t="n">
        <x:v>19800</x:v>
      </x:c>
      <x:c r="S172" s="142" t="n">
        <x:v>0.9090909090909091</x:v>
      </x:c>
      <x:c r="T172" s="142" t="n">
        <x:v>-0.008894173540126268</x:v>
      </x:c>
      <x:c r="U172" t="str">
        <x:v>Completed</x:v>
      </x:c>
      <x:c r="V172" s="142" t="n">
        <x:v>0.08</x:v>
      </x:c>
      <x:c r="W172" t="n">
        <x:v>4.2</x:v>
      </x:c>
    </x:row>
    <x:row r="173">
      <x:c r="A173" t="str">
        <x:v>ORD-10172</x:v>
      </x:c>
      <x:c r="B173" s="138" t="n">
        <x:v>45984</x:v>
      </x:c>
      <x:c r="C173" t="str">
        <x:v>Nov</x:v>
      </x:c>
      <x:c r="D173" t="str">
        <x:v>Q4</x:v>
      </x:c>
      <x:c r="E173" t="str">
        <x:v>East</x:v>
      </x:c>
      <x:c r="F173" t="str">
        <x:v>Bhubaneswar</x:v>
      </x:c>
      <x:c r="G173" t="str">
        <x:v>Riya Das</x:v>
      </x:c>
      <x:c r="H173" t="str">
        <x:v>Home</x:v>
      </x:c>
      <x:c r="I173" t="str">
        <x:v>Vacuum Cleaner</x:v>
      </x:c>
      <x:c r="J173" t="n">
        <x:v>12</x:v>
      </x:c>
      <x:c r="K173" s="140" t="n">
        <x:v>11190</x:v>
      </x:c>
      <x:c r="L173" s="140" t="n">
        <x:v>134280</x:v>
      </x:c>
      <x:c r="M173" s="140" t="n">
        <x:v>85200</x:v>
      </x:c>
      <x:c r="N173" s="140" t="n">
        <x:v>49080</x:v>
      </x:c>
      <x:c r="O173" s="142" t="n">
        <x:v>0.36550491510277033</x:v>
      </x:c>
      <x:c r="P173" t="str">
        <x:v>Existing</x:v>
      </x:c>
      <x:c r="Q173" t="str">
        <x:v>Online</x:v>
      </x:c>
      <x:c r="R173" s="140" t="n">
        <x:v>123500</x:v>
      </x:c>
      <x:c r="S173" s="142" t="n">
        <x:v>1.0872874493927125</x:v>
      </x:c>
      <x:c r="T173" s="142" t="n">
        <x:v>0.05797839776534493</x:v>
      </x:c>
      <x:c r="U173" t="str">
        <x:v>Completed</x:v>
      </x:c>
      <x:c r="V173" s="142" t="n">
        <x:v>0</x:v>
      </x:c>
      <x:c r="W173" t="n">
        <x:v>4.4</x:v>
      </x:c>
    </x:row>
    <x:row r="174">
      <x:c r="A174" t="str">
        <x:v>ORD-10173</x:v>
      </x:c>
      <x:c r="B174" s="138" t="n">
        <x:v>45941</x:v>
      </x:c>
      <x:c r="C174" t="str">
        <x:v>Oct</x:v>
      </x:c>
      <x:c r="D174" t="str">
        <x:v>Q4</x:v>
      </x:c>
      <x:c r="E174" t="str">
        <x:v>East</x:v>
      </x:c>
      <x:c r="F174" t="str">
        <x:v>Patna</x:v>
      </x:c>
      <x:c r="G174" t="str">
        <x:v>Riya Das</x:v>
      </x:c>
      <x:c r="H174" t="str">
        <x:v>Electronics</x:v>
      </x:c>
      <x:c r="I174" t="str">
        <x:v>Smartphone X</x:v>
      </x:c>
      <x:c r="J174" t="n">
        <x:v>1</x:v>
      </x:c>
      <x:c r="K174" s="140" t="n">
        <x:v>31060</x:v>
      </x:c>
      <x:c r="L174" s="140" t="n">
        <x:v>31060</x:v>
      </x:c>
      <x:c r="M174" s="140" t="n">
        <x:v>22800</x:v>
      </x:c>
      <x:c r="N174" s="140" t="n">
        <x:v>8260</x:v>
      </x:c>
      <x:c r="O174" s="142" t="n">
        <x:v>0.2659368963296845</x:v>
      </x:c>
      <x:c r="P174" t="str">
        <x:v>Existing</x:v>
      </x:c>
      <x:c r="Q174" t="str">
        <x:v>Offline</x:v>
      </x:c>
      <x:c r="R174" s="140" t="n">
        <x:v>32200</x:v>
      </x:c>
      <x:c r="S174" s="142" t="n">
        <x:v>0.9645962732919254</x:v>
      </x:c>
      <x:c r="T174" s="142" t="n">
        <x:v>0.1136259269080107</x:v>
      </x:c>
      <x:c r="U174" t="str">
        <x:v>Completed</x:v>
      </x:c>
      <x:c r="V174" s="142" t="n">
        <x:v>0</x:v>
      </x:c>
      <x:c r="W174" t="n">
        <x:v>4</x:v>
      </x:c>
    </x:row>
    <x:row r="175">
      <x:c r="A175" t="str">
        <x:v>ORD-10174</x:v>
      </x:c>
      <x:c r="B175" s="138" t="n">
        <x:v>45810</x:v>
      </x:c>
      <x:c r="C175" t="str">
        <x:v>Jun</x:v>
      </x:c>
      <x:c r="D175" t="str">
        <x:v>Q2</x:v>
      </x:c>
      <x:c r="E175" t="str">
        <x:v>North</x:v>
      </x:c>
      <x:c r="F175" t="str">
        <x:v>Lucknow</x:v>
      </x:c>
      <x:c r="G175" t="str">
        <x:v>Neha Verma</x:v>
      </x:c>
      <x:c r="H175" t="str">
        <x:v>Home</x:v>
      </x:c>
      <x:c r="I175" t="str">
        <x:v>Vacuum Cleaner</x:v>
      </x:c>
      <x:c r="J175" t="n">
        <x:v>14</x:v>
      </x:c>
      <x:c r="K175" s="140" t="n">
        <x:v>11010</x:v>
      </x:c>
      <x:c r="L175" s="140" t="n">
        <x:v>154140</x:v>
      </x:c>
      <x:c r="M175" s="140" t="n">
        <x:v>99400</x:v>
      </x:c>
      <x:c r="N175" s="140" t="n">
        <x:v>54740</x:v>
      </x:c>
      <x:c r="O175" s="142" t="n">
        <x:v>0.35513169845594916</x:v>
      </x:c>
      <x:c r="P175" t="str">
        <x:v>Existing</x:v>
      </x:c>
      <x:c r="Q175" t="str">
        <x:v>Online</x:v>
      </x:c>
      <x:c r="R175" s="140" t="n">
        <x:v>142900</x:v>
      </x:c>
      <x:c r="S175" s="142" t="n">
        <x:v>1.0786564030790762</x:v>
      </x:c>
      <x:c r="T175" s="142" t="n">
        <x:v>0.07088652774046149</x:v>
      </x:c>
      <x:c r="U175" t="str">
        <x:v>Completed</x:v>
      </x:c>
      <x:c r="V175" s="142" t="n">
        <x:v>0.03</x:v>
      </x:c>
      <x:c r="W175" t="n">
        <x:v>5</x:v>
      </x:c>
    </x:row>
    <x:row r="176">
      <x:c r="A176" t="str">
        <x:v>ORD-10175</x:v>
      </x:c>
      <x:c r="B176" s="138" t="n">
        <x:v>45851</x:v>
      </x:c>
      <x:c r="C176" t="str">
        <x:v>Jul</x:v>
      </x:c>
      <x:c r="D176" t="str">
        <x:v>Q3</x:v>
      </x:c>
      <x:c r="E176" t="str">
        <x:v>West</x:v>
      </x:c>
      <x:c r="F176" t="str">
        <x:v>Mumbai</x:v>
      </x:c>
      <x:c r="G176" t="str">
        <x:v>Kabir Shah</x:v>
      </x:c>
      <x:c r="H176" t="str">
        <x:v>Home</x:v>
      </x:c>
      <x:c r="I176" t="str">
        <x:v>Air Purifier</x:v>
      </x:c>
      <x:c r="J176" t="n">
        <x:v>11</x:v>
      </x:c>
      <x:c r="K176" s="140" t="n">
        <x:v>15780</x:v>
      </x:c>
      <x:c r="L176" s="140" t="n">
        <x:v>173580</x:v>
      </x:c>
      <x:c r="M176" s="140" t="n">
        <x:v>114400</x:v>
      </x:c>
      <x:c r="N176" s="140" t="n">
        <x:v>59180</x:v>
      </x:c>
      <x:c r="O176" s="142" t="n">
        <x:v>0.3409378960709759</x:v>
      </x:c>
      <x:c r="P176" t="str">
        <x:v>Existing</x:v>
      </x:c>
      <x:c r="Q176" t="str">
        <x:v>Online</x:v>
      </x:c>
      <x:c r="R176" s="140" t="n">
        <x:v>187200</x:v>
      </x:c>
      <x:c r="S176" s="142" t="n">
        <x:v>0.9272435897435898</x:v>
      </x:c>
      <x:c r="T176" s="142" t="n">
        <x:v>-0.06462492065053502</x:v>
      </x:c>
      <x:c r="U176" t="str">
        <x:v>Completed</x:v>
      </x:c>
      <x:c r="V176" s="142" t="n">
        <x:v>0.03</x:v>
      </x:c>
      <x:c r="W176" t="n">
        <x:v>3.8</x:v>
      </x:c>
    </x:row>
    <x:row r="177">
      <x:c r="A177" t="str">
        <x:v>ORD-10176</x:v>
      </x:c>
      <x:c r="B177" s="138" t="n">
        <x:v>45994</x:v>
      </x:c>
      <x:c r="C177" t="str">
        <x:v>Dec</x:v>
      </x:c>
      <x:c r="D177" t="str">
        <x:v>Q4</x:v>
      </x:c>
      <x:c r="E177" t="str">
        <x:v>North</x:v>
      </x:c>
      <x:c r="F177" t="str">
        <x:v>Lucknow</x:v>
      </x:c>
      <x:c r="G177" t="str">
        <x:v>Arjun Malhotra</x:v>
      </x:c>
      <x:c r="H177" t="str">
        <x:v>Accessories</x:v>
      </x:c>
      <x:c r="I177" t="str">
        <x:v>Wireless Mouse</x:v>
      </x:c>
      <x:c r="J177" t="n">
        <x:v>2</x:v>
      </x:c>
      <x:c r="K177" s="140" t="n">
        <x:v>2080</x:v>
      </x:c>
      <x:c r="L177" s="140" t="n">
        <x:v>4160</x:v>
      </x:c>
      <x:c r="M177" s="140" t="n">
        <x:v>1860</x:v>
      </x:c>
      <x:c r="N177" s="140" t="n">
        <x:v>2300</x:v>
      </x:c>
      <x:c r="O177" s="142" t="n">
        <x:v>0.5528846153846154</x:v>
      </x:c>
      <x:c r="P177" t="str">
        <x:v>Existing</x:v>
      </x:c>
      <x:c r="Q177" t="str">
        <x:v>Offline</x:v>
      </x:c>
      <x:c r="R177" s="140" t="n">
        <x:v>4900</x:v>
      </x:c>
      <x:c r="S177" s="142" t="n">
        <x:v>0.8489795918367347</x:v>
      </x:c>
      <x:c r="T177" s="142" t="n">
        <x:v>0.11713992968570867</x:v>
      </x:c>
      <x:c r="U177" t="str">
        <x:v>Completed</x:v>
      </x:c>
      <x:c r="V177" s="142" t="n">
        <x:v>0</x:v>
      </x:c>
      <x:c r="W177" t="n">
        <x:v>4.4</x:v>
      </x:c>
    </x:row>
    <x:row r="178">
      <x:c r="A178" t="str">
        <x:v>ORD-10177</x:v>
      </x:c>
      <x:c r="B178" s="138" t="n">
        <x:v>45961</x:v>
      </x:c>
      <x:c r="C178" t="str">
        <x:v>Oct</x:v>
      </x:c>
      <x:c r="D178" t="str">
        <x:v>Q4</x:v>
      </x:c>
      <x:c r="E178" t="str">
        <x:v>West</x:v>
      </x:c>
      <x:c r="F178" t="str">
        <x:v>Pune</x:v>
      </x:c>
      <x:c r="G178" t="str">
        <x:v>Kabir Shah</x:v>
      </x:c>
      <x:c r="H178" t="str">
        <x:v>Office</x:v>
      </x:c>
      <x:c r="I178" t="str">
        <x:v>Laser Printer</x:v>
      </x:c>
      <x:c r="J178" t="n">
        <x:v>11</x:v>
      </x:c>
      <x:c r="K178" s="140" t="n">
        <x:v>19190</x:v>
      </x:c>
      <x:c r="L178" s="140" t="n">
        <x:v>211090</x:v>
      </x:c>
      <x:c r="M178" s="140" t="n">
        <x:v>138600</x:v>
      </x:c>
      <x:c r="N178" s="140" t="n">
        <x:v>72490</x:v>
      </x:c>
      <x:c r="O178" s="142" t="n">
        <x:v>0.34340802501302764</x:v>
      </x:c>
      <x:c r="P178" t="str">
        <x:v>Existing</x:v>
      </x:c>
      <x:c r="Q178" t="str">
        <x:v>Offline</x:v>
      </x:c>
      <x:c r="R178" s="140" t="n">
        <x:v>238400</x:v>
      </x:c>
      <x:c r="S178" s="142" t="n">
        <x:v>0.8854446308724833</x:v>
      </x:c>
      <x:c r="T178" s="142" t="n">
        <x:v>0.05884726076041798</x:v>
      </x:c>
      <x:c r="U178" t="str">
        <x:v>Completed</x:v>
      </x:c>
      <x:c r="V178" s="142" t="n">
        <x:v>0.05</x:v>
      </x:c>
      <x:c r="W178" t="n">
        <x:v>4.8</x:v>
      </x:c>
    </x:row>
    <x:row r="179">
      <x:c r="A179" t="str">
        <x:v>ORD-10178</x:v>
      </x:c>
      <x:c r="B179" s="138" t="n">
        <x:v>45771</x:v>
      </x:c>
      <x:c r="C179" t="str">
        <x:v>Apr</x:v>
      </x:c>
      <x:c r="D179" t="str">
        <x:v>Q2</x:v>
      </x:c>
      <x:c r="E179" t="str">
        <x:v>South</x:v>
      </x:c>
      <x:c r="F179" t="str">
        <x:v>Hyderabad</x:v>
      </x:c>
      <x:c r="G179" t="str">
        <x:v>Ananya Iyer</x:v>
      </x:c>
      <x:c r="H179" t="str">
        <x:v>Accessories</x:v>
      </x:c>
      <x:c r="I179" t="str">
        <x:v>Wireless Mouse</x:v>
      </x:c>
      <x:c r="J179" t="n">
        <x:v>1</x:v>
      </x:c>
      <x:c r="K179" s="140" t="n">
        <x:v>2050</x:v>
      </x:c>
      <x:c r="L179" s="140" t="n">
        <x:v>2050</x:v>
      </x:c>
      <x:c r="M179" s="140" t="n">
        <x:v>930</x:v>
      </x:c>
      <x:c r="N179" s="140" t="n">
        <x:v>1120</x:v>
      </x:c>
      <x:c r="O179" s="142" t="n">
        <x:v>0.5463414634146342</x:v>
      </x:c>
      <x:c r="P179" t="str">
        <x:v>Existing</x:v>
      </x:c>
      <x:c r="Q179" t="str">
        <x:v>Offline</x:v>
      </x:c>
      <x:c r="R179" s="140" t="n">
        <x:v>2300</x:v>
      </x:c>
      <x:c r="S179" s="142" t="n">
        <x:v>0.8913043478260869</x:v>
      </x:c>
      <x:c r="T179" s="142" t="n">
        <x:v>0.10821042268468505</x:v>
      </x:c>
      <x:c r="U179" t="str">
        <x:v>Completed</x:v>
      </x:c>
      <x:c r="V179" s="142" t="n">
        <x:v>0</x:v>
      </x:c>
      <x:c r="W179" t="n">
        <x:v>4.9</x:v>
      </x:c>
    </x:row>
    <x:row r="180">
      <x:c r="A180" t="str">
        <x:v>ORD-10179</x:v>
      </x:c>
      <x:c r="B180" s="138" t="n">
        <x:v>45974</x:v>
      </x:c>
      <x:c r="C180" t="str">
        <x:v>Nov</x:v>
      </x:c>
      <x:c r="D180" t="str">
        <x:v>Q4</x:v>
      </x:c>
      <x:c r="E180" t="str">
        <x:v>North</x:v>
      </x:c>
      <x:c r="F180" t="str">
        <x:v>Jaipur</x:v>
      </x:c>
      <x:c r="G180" t="str">
        <x:v>Arjun Malhotra</x:v>
      </x:c>
      <x:c r="H180" t="str">
        <x:v>Home</x:v>
      </x:c>
      <x:c r="I180" t="str">
        <x:v>Vacuum Cleaner</x:v>
      </x:c>
      <x:c r="J180" t="n">
        <x:v>1</x:v>
      </x:c>
      <x:c r="K180" s="140" t="n">
        <x:v>10990</x:v>
      </x:c>
      <x:c r="L180" s="140" t="n">
        <x:v>10990</x:v>
      </x:c>
      <x:c r="M180" s="140" t="n">
        <x:v>7100</x:v>
      </x:c>
      <x:c r="N180" s="140" t="n">
        <x:v>3890</x:v>
      </x:c>
      <x:c r="O180" s="142" t="n">
        <x:v>0.353958143767061</x:v>
      </x:c>
      <x:c r="P180" t="str">
        <x:v>Existing</x:v>
      </x:c>
      <x:c r="Q180" t="str">
        <x:v>Offline</x:v>
      </x:c>
      <x:c r="R180" s="140" t="n">
        <x:v>10900</x:v>
      </x:c>
      <x:c r="S180" s="142" t="n">
        <x:v>1.008256880733945</x:v>
      </x:c>
      <x:c r="T180" s="142" t="n">
        <x:v>0.0942049368329221</x:v>
      </x:c>
      <x:c r="U180" t="str">
        <x:v>Completed</x:v>
      </x:c>
      <x:c r="V180" s="142" t="n">
        <x:v>0.05</x:v>
      </x:c>
      <x:c r="W180" t="n">
        <x:v>4.9</x:v>
      </x:c>
    </x:row>
    <x:row r="181">
      <x:c r="A181" t="str">
        <x:v>ORD-10180</x:v>
      </x:c>
      <x:c r="B181" s="138" t="n">
        <x:v>45875</x:v>
      </x:c>
      <x:c r="C181" t="str">
        <x:v>Aug</x:v>
      </x:c>
      <x:c r="D181" t="str">
        <x:v>Q3</x:v>
      </x:c>
      <x:c r="E181" t="str">
        <x:v>West</x:v>
      </x:c>
      <x:c r="F181" t="str">
        <x:v>Mumbai</x:v>
      </x:c>
      <x:c r="G181" t="str">
        <x:v>Meera Patel</x:v>
      </x:c>
      <x:c r="H181" t="str">
        <x:v>Office</x:v>
      </x:c>
      <x:c r="I181" t="str">
        <x:v>Ergonomic Chair</x:v>
      </x:c>
      <x:c r="J181" t="n">
        <x:v>7</x:v>
      </x:c>
      <x:c r="K181" s="140" t="n">
        <x:v>12120</x:v>
      </x:c>
      <x:c r="L181" s="140" t="n">
        <x:v>84840</x:v>
      </x:c>
      <x:c r="M181" s="140" t="n">
        <x:v>53200</x:v>
      </x:c>
      <x:c r="N181" s="140" t="n">
        <x:v>31640</x:v>
      </x:c>
      <x:c r="O181" s="142" t="n">
        <x:v>0.37293729372937295</x:v>
      </x:c>
      <x:c r="P181" t="str">
        <x:v>Existing</x:v>
      </x:c>
      <x:c r="Q181" t="str">
        <x:v>Offline</x:v>
      </x:c>
      <x:c r="R181" s="140" t="n">
        <x:v>77400</x:v>
      </x:c>
      <x:c r="S181" s="142" t="n">
        <x:v>1.096124031007752</x:v>
      </x:c>
      <x:c r="T181" s="142" t="n">
        <x:v>-0.07901942601797661</x:v>
      </x:c>
      <x:c r="U181" t="str">
        <x:v>Completed</x:v>
      </x:c>
      <x:c r="V181" s="142" t="n">
        <x:v>0.03</x:v>
      </x:c>
      <x:c r="W181" t="n">
        <x:v>3.8</x:v>
      </x:c>
    </x:row>
    <x:row r="182">
      <x:c r="A182" t="str">
        <x:v>ORD-10181</x:v>
      </x:c>
      <x:c r="B182" s="138" t="n">
        <x:v>45771</x:v>
      </x:c>
      <x:c r="C182" t="str">
        <x:v>Apr</x:v>
      </x:c>
      <x:c r="D182" t="str">
        <x:v>Q2</x:v>
      </x:c>
      <x:c r="E182" t="str">
        <x:v>East</x:v>
      </x:c>
      <x:c r="F182" t="str">
        <x:v>Kolkata</x:v>
      </x:c>
      <x:c r="G182" t="str">
        <x:v>Riya Das</x:v>
      </x:c>
      <x:c r="H182" t="str">
        <x:v>Electronics</x:v>
      </x:c>
      <x:c r="I182" t="str">
        <x:v>Laptop Pro</x:v>
      </x:c>
      <x:c r="J182" t="n">
        <x:v>15</x:v>
      </x:c>
      <x:c r="K182" s="140" t="n">
        <x:v>68810</x:v>
      </x:c>
      <x:c r="L182" s="140" t="n">
        <x:v>1032150</x:v>
      </x:c>
      <x:c r="M182" s="140" t="n">
        <x:v>787500</x:v>
      </x:c>
      <x:c r="N182" s="140" t="n">
        <x:v>244650</x:v>
      </x:c>
      <x:c r="O182" s="142" t="n">
        <x:v>0.237029501525941</x:v>
      </x:c>
      <x:c r="P182" t="str">
        <x:v>Existing</x:v>
      </x:c>
      <x:c r="Q182" t="str">
        <x:v>Offline</x:v>
      </x:c>
      <x:c r="R182" s="140" t="n">
        <x:v>1128900</x:v>
      </x:c>
      <x:c r="S182" s="142" t="n">
        <x:v>0.9142971033749668</x:v>
      </x:c>
      <x:c r="T182" s="142" t="n">
        <x:v>0.1966114564108855</x:v>
      </x:c>
      <x:c r="U182" t="str">
        <x:v>Completed</x:v>
      </x:c>
      <x:c r="V182" s="142" t="n">
        <x:v>0.03</x:v>
      </x:c>
      <x:c r="W182" t="n">
        <x:v>4</x:v>
      </x:c>
    </x:row>
    <x:row r="183">
      <x:c r="A183" t="str">
        <x:v>ORD-10182</x:v>
      </x:c>
      <x:c r="B183" s="138" t="n">
        <x:v>45991</x:v>
      </x:c>
      <x:c r="C183" t="str">
        <x:v>Nov</x:v>
      </x:c>
      <x:c r="D183" t="str">
        <x:v>Q4</x:v>
      </x:c>
      <x:c r="E183" t="str">
        <x:v>West</x:v>
      </x:c>
      <x:c r="F183" t="str">
        <x:v>Pune</x:v>
      </x:c>
      <x:c r="G183" t="str">
        <x:v>Meera Patel</x:v>
      </x:c>
      <x:c r="H183" t="str">
        <x:v>Home</x:v>
      </x:c>
      <x:c r="I183" t="str">
        <x:v>Air Purifier</x:v>
      </x:c>
      <x:c r="J183" t="n">
        <x:v>9</x:v>
      </x:c>
      <x:c r="K183" s="140" t="n">
        <x:v>16550</x:v>
      </x:c>
      <x:c r="L183" s="140" t="n">
        <x:v>148950</x:v>
      </x:c>
      <x:c r="M183" s="140" t="n">
        <x:v>93600</x:v>
      </x:c>
      <x:c r="N183" s="140" t="n">
        <x:v>55350</x:v>
      </x:c>
      <x:c r="O183" s="142" t="n">
        <x:v>0.3716012084592145</x:v>
      </x:c>
      <x:c r="P183" t="str">
        <x:v>Existing</x:v>
      </x:c>
      <x:c r="Q183" t="str">
        <x:v>Offline</x:v>
      </x:c>
      <x:c r="R183" s="140" t="n">
        <x:v>138200</x:v>
      </x:c>
      <x:c r="S183" s="142" t="n">
        <x:v>1.0777858176555717</x:v>
      </x:c>
      <x:c r="T183" s="142" t="n">
        <x:v>0.12625589840506307</x:v>
      </x:c>
      <x:c r="U183" t="str">
        <x:v>Completed</x:v>
      </x:c>
      <x:c r="V183" s="142" t="n">
        <x:v>0</x:v>
      </x:c>
      <x:c r="W183" t="n">
        <x:v>4.7</x:v>
      </x:c>
    </x:row>
    <x:row r="184">
      <x:c r="A184" t="str">
        <x:v>ORD-10183</x:v>
      </x:c>
      <x:c r="B184" s="138" t="n">
        <x:v>45862</x:v>
      </x:c>
      <x:c r="C184" t="str">
        <x:v>Jul</x:v>
      </x:c>
      <x:c r="D184" t="str">
        <x:v>Q3</x:v>
      </x:c>
      <x:c r="E184" t="str">
        <x:v>East</x:v>
      </x:c>
      <x:c r="F184" t="str">
        <x:v>Bhubaneswar</x:v>
      </x:c>
      <x:c r="G184" t="str">
        <x:v>Riya Das</x:v>
      </x:c>
      <x:c r="H184" t="str">
        <x:v>Office</x:v>
      </x:c>
      <x:c r="I184" t="str">
        <x:v>Laser Printer</x:v>
      </x:c>
      <x:c r="J184" t="n">
        <x:v>14</x:v>
      </x:c>
      <x:c r="K184" s="140" t="n">
        <x:v>19060</x:v>
      </x:c>
      <x:c r="L184" s="140" t="n">
        <x:v>266840</x:v>
      </x:c>
      <x:c r="M184" s="140" t="n">
        <x:v>176400</x:v>
      </x:c>
      <x:c r="N184" s="140" t="n">
        <x:v>90440</x:v>
      </x:c>
      <x:c r="O184" s="142" t="n">
        <x:v>0.3389296956977964</x:v>
      </x:c>
      <x:c r="P184" t="str">
        <x:v>Existing</x:v>
      </x:c>
      <x:c r="Q184" t="str">
        <x:v>Online</x:v>
      </x:c>
      <x:c r="R184" s="140" t="n">
        <x:v>304500</x:v>
      </x:c>
      <x:c r="S184" s="142" t="n">
        <x:v>0.8763218390804598</x:v>
      </x:c>
      <x:c r="T184" s="142" t="n">
        <x:v>0.06793025791069839</x:v>
      </x:c>
      <x:c r="U184" t="str">
        <x:v>Completed</x:v>
      </x:c>
      <x:c r="V184" s="142" t="n">
        <x:v>0</x:v>
      </x:c>
      <x:c r="W184" t="n">
        <x:v>3.4</x:v>
      </x:c>
    </x:row>
    <x:row r="185">
      <x:c r="A185" t="str">
        <x:v>ORD-10184</x:v>
      </x:c>
      <x:c r="B185" s="138" t="n">
        <x:v>45733</x:v>
      </x:c>
      <x:c r="C185" t="str">
        <x:v>Mar</x:v>
      </x:c>
      <x:c r="D185" t="str">
        <x:v>Q1</x:v>
      </x:c>
      <x:c r="E185" t="str">
        <x:v>North</x:v>
      </x:c>
      <x:c r="F185" t="str">
        <x:v>Jaipur</x:v>
      </x:c>
      <x:c r="G185" t="str">
        <x:v>Neha Verma</x:v>
      </x:c>
      <x:c r="H185" t="str">
        <x:v>Office</x:v>
      </x:c>
      <x:c r="I185" t="str">
        <x:v>Ergonomic Chair</x:v>
      </x:c>
      <x:c r="J185" t="n">
        <x:v>10</x:v>
      </x:c>
      <x:c r="K185" s="140" t="n">
        <x:v>12070</x:v>
      </x:c>
      <x:c r="L185" s="140" t="n">
        <x:v>120700</x:v>
      </x:c>
      <x:c r="M185" s="140" t="n">
        <x:v>76000</x:v>
      </x:c>
      <x:c r="N185" s="140" t="n">
        <x:v>44700</x:v>
      </x:c>
      <x:c r="O185" s="142" t="n">
        <x:v>0.37033968516984256</x:v>
      </x:c>
      <x:c r="P185" t="str">
        <x:v>Existing</x:v>
      </x:c>
      <x:c r="Q185" t="str">
        <x:v>Offline</x:v>
      </x:c>
      <x:c r="R185" s="140" t="n">
        <x:v>140900</x:v>
      </x:c>
      <x:c r="S185" s="142" t="n">
        <x:v>0.8566359119943222</x:v>
      </x:c>
      <x:c r="T185" s="142" t="n">
        <x:v>-0.009463482292405567</x:v>
      </x:c>
      <x:c r="U185" t="str">
        <x:v>Completed</x:v>
      </x:c>
      <x:c r="V185" s="142" t="n">
        <x:v>0.03</x:v>
      </x:c>
      <x:c r="W185" t="n">
        <x:v>3.5</x:v>
      </x:c>
    </x:row>
    <x:row r="186">
      <x:c r="A186" t="str">
        <x:v>ORD-10185</x:v>
      </x:c>
      <x:c r="B186" s="138" t="n">
        <x:v>45831</x:v>
      </x:c>
      <x:c r="C186" t="str">
        <x:v>Jun</x:v>
      </x:c>
      <x:c r="D186" t="str">
        <x:v>Q2</x:v>
      </x:c>
      <x:c r="E186" t="str">
        <x:v>South</x:v>
      </x:c>
      <x:c r="F186" t="str">
        <x:v>Chennai</x:v>
      </x:c>
      <x:c r="G186" t="str">
        <x:v>Ananya Iyer</x:v>
      </x:c>
      <x:c r="H186" t="str">
        <x:v>Office</x:v>
      </x:c>
      <x:c r="I186" t="str">
        <x:v>Ergonomic Chair</x:v>
      </x:c>
      <x:c r="J186" t="n">
        <x:v>5</x:v>
      </x:c>
      <x:c r="K186" s="140" t="n">
        <x:v>12170</x:v>
      </x:c>
      <x:c r="L186" s="140" t="n">
        <x:v>60850</x:v>
      </x:c>
      <x:c r="M186" s="140" t="n">
        <x:v>38000</x:v>
      </x:c>
      <x:c r="N186" s="140" t="n">
        <x:v>22850</x:v>
      </x:c>
      <x:c r="O186" s="142" t="n">
        <x:v>0.37551355792933444</x:v>
      </x:c>
      <x:c r="P186" t="str">
        <x:v>Existing</x:v>
      </x:c>
      <x:c r="Q186" t="str">
        <x:v>Offline</x:v>
      </x:c>
      <x:c r="R186" s="140" t="n">
        <x:v>58300</x:v>
      </x:c>
      <x:c r="S186" s="142" t="n">
        <x:v>1.0437392795883362</x:v>
      </x:c>
      <x:c r="T186" s="142" t="n">
        <x:v>0.12534462139073688</x:v>
      </x:c>
      <x:c r="U186" t="str">
        <x:v>Completed</x:v>
      </x:c>
      <x:c r="V186" s="142" t="n">
        <x:v>0.03</x:v>
      </x:c>
      <x:c r="W186" t="n">
        <x:v>4.8</x:v>
      </x:c>
    </x:row>
    <x:row r="187">
      <x:c r="A187" t="str">
        <x:v>ORD-10186</x:v>
      </x:c>
      <x:c r="B187" s="138" t="n">
        <x:v>45734</x:v>
      </x:c>
      <x:c r="C187" t="str">
        <x:v>Mar</x:v>
      </x:c>
      <x:c r="D187" t="str">
        <x:v>Q1</x:v>
      </x:c>
      <x:c r="E187" t="str">
        <x:v>South</x:v>
      </x:c>
      <x:c r="F187" t="str">
        <x:v>Hyderabad</x:v>
      </x:c>
      <x:c r="G187" t="str">
        <x:v>Vikram Rao</x:v>
      </x:c>
      <x:c r="H187" t="str">
        <x:v>Home</x:v>
      </x:c>
      <x:c r="I187" t="str">
        <x:v>Microwave</x:v>
      </x:c>
      <x:c r="J187" t="n">
        <x:v>13</x:v>
      </x:c>
      <x:c r="K187" s="140" t="n">
        <x:v>13040</x:v>
      </x:c>
      <x:c r="L187" s="140" t="n">
        <x:v>169520</x:v>
      </x:c>
      <x:c r="M187" s="140" t="n">
        <x:v>107250</x:v>
      </x:c>
      <x:c r="N187" s="140" t="n">
        <x:v>62270</x:v>
      </x:c>
      <x:c r="O187" s="142" t="n">
        <x:v>0.36733128834355827</x:v>
      </x:c>
      <x:c r="P187" t="str">
        <x:v>New</x:v>
      </x:c>
      <x:c r="Q187" t="str">
        <x:v>Offline</x:v>
      </x:c>
      <x:c r="R187" s="140" t="n">
        <x:v>184300</x:v>
      </x:c>
      <x:c r="S187" s="142" t="n">
        <x:v>0.9198046663049376</x:v>
      </x:c>
      <x:c r="T187" s="142" t="n">
        <x:v>-0.06948248264885686</x:v>
      </x:c>
      <x:c r="U187" t="str">
        <x:v>Completed</x:v>
      </x:c>
      <x:c r="V187" s="142" t="n">
        <x:v>0.05</x:v>
      </x:c>
      <x:c r="W187" t="n">
        <x:v>3.4</x:v>
      </x:c>
    </x:row>
    <x:row r="188">
      <x:c r="A188" t="str">
        <x:v>ORD-10187</x:v>
      </x:c>
      <x:c r="B188" s="138" t="n">
        <x:v>45744</x:v>
      </x:c>
      <x:c r="C188" t="str">
        <x:v>Mar</x:v>
      </x:c>
      <x:c r="D188" t="str">
        <x:v>Q1</x:v>
      </x:c>
      <x:c r="E188" t="str">
        <x:v>North</x:v>
      </x:c>
      <x:c r="F188" t="str">
        <x:v>Lucknow</x:v>
      </x:c>
      <x:c r="G188" t="str">
        <x:v>Neha Verma</x:v>
      </x:c>
      <x:c r="H188" t="str">
        <x:v>Home</x:v>
      </x:c>
      <x:c r="I188" t="str">
        <x:v>Microwave</x:v>
      </x:c>
      <x:c r="J188" t="n">
        <x:v>6</x:v>
      </x:c>
      <x:c r="K188" s="140" t="n">
        <x:v>12890</x:v>
      </x:c>
      <x:c r="L188" s="140" t="n">
        <x:v>77340</x:v>
      </x:c>
      <x:c r="M188" s="140" t="n">
        <x:v>49500</x:v>
      </x:c>
      <x:c r="N188" s="140" t="n">
        <x:v>27840</x:v>
      </x:c>
      <x:c r="O188" s="142" t="n">
        <x:v>0.3599689681923972</x:v>
      </x:c>
      <x:c r="P188" t="str">
        <x:v>New</x:v>
      </x:c>
      <x:c r="Q188" t="str">
        <x:v>Offline</x:v>
      </x:c>
      <x:c r="R188" s="140" t="n">
        <x:v>71100</x:v>
      </x:c>
      <x:c r="S188" s="142" t="n">
        <x:v>1.0877637130801687</x:v>
      </x:c>
      <x:c r="T188" s="142" t="n">
        <x:v>0.17058737277924046</x:v>
      </x:c>
      <x:c r="U188" t="str">
        <x:v>Completed</x:v>
      </x:c>
      <x:c r="V188" s="142" t="n">
        <x:v>0.08</x:v>
      </x:c>
      <x:c r="W188" t="n">
        <x:v>4.2</x:v>
      </x:c>
    </x:row>
    <x:row r="189">
      <x:c r="A189" t="str">
        <x:v>ORD-10188</x:v>
      </x:c>
      <x:c r="B189" s="138" t="n">
        <x:v>45811</x:v>
      </x:c>
      <x:c r="C189" t="str">
        <x:v>Jun</x:v>
      </x:c>
      <x:c r="D189" t="str">
        <x:v>Q2</x:v>
      </x:c>
      <x:c r="E189" t="str">
        <x:v>North</x:v>
      </x:c>
      <x:c r="F189" t="str">
        <x:v>Lucknow</x:v>
      </x:c>
      <x:c r="G189" t="str">
        <x:v>Arjun Malhotra</x:v>
      </x:c>
      <x:c r="H189" t="str">
        <x:v>Accessories</x:v>
      </x:c>
      <x:c r="I189" t="str">
        <x:v>Headphones</x:v>
      </x:c>
      <x:c r="J189" t="n">
        <x:v>7</x:v>
      </x:c>
      <x:c r="K189" s="140" t="n">
        <x:v>5240</x:v>
      </x:c>
      <x:c r="L189" s="140" t="n">
        <x:v>36680</x:v>
      </x:c>
      <x:c r="M189" s="140" t="n">
        <x:v>20440</x:v>
      </x:c>
      <x:c r="N189" s="140" t="n">
        <x:v>16240</x:v>
      </x:c>
      <x:c r="O189" s="142" t="n">
        <x:v>0.44274809160305345</x:v>
      </x:c>
      <x:c r="P189" t="str">
        <x:v>Existing</x:v>
      </x:c>
      <x:c r="Q189" t="str">
        <x:v>Online</x:v>
      </x:c>
      <x:c r="R189" s="140" t="n">
        <x:v>35800</x:v>
      </x:c>
      <x:c r="S189" s="142" t="n">
        <x:v>1.0245810055865923</x:v>
      </x:c>
      <x:c r="T189" s="142" t="n">
        <x:v>0.020315620604274345</x:v>
      </x:c>
      <x:c r="U189" t="str">
        <x:v>Completed</x:v>
      </x:c>
      <x:c r="V189" s="142" t="n">
        <x:v>0.08</x:v>
      </x:c>
      <x:c r="W189" t="n">
        <x:v>3.4</x:v>
      </x:c>
    </x:row>
    <x:row r="190">
      <x:c r="A190" t="str">
        <x:v>ORD-10189</x:v>
      </x:c>
      <x:c r="B190" s="138" t="n">
        <x:v>45898</x:v>
      </x:c>
      <x:c r="C190" t="str">
        <x:v>Aug</x:v>
      </x:c>
      <x:c r="D190" t="str">
        <x:v>Q3</x:v>
      </x:c>
      <x:c r="E190" t="str">
        <x:v>North</x:v>
      </x:c>
      <x:c r="F190" t="str">
        <x:v>Delhi</x:v>
      </x:c>
      <x:c r="G190" t="str">
        <x:v>Arjun Malhotra</x:v>
      </x:c>
      <x:c r="H190" t="str">
        <x:v>Accessories</x:v>
      </x:c>
      <x:c r="I190" t="str">
        <x:v>Headphones</x:v>
      </x:c>
      <x:c r="J190" t="n">
        <x:v>9</x:v>
      </x:c>
      <x:c r="K190" s="140" t="n">
        <x:v>5350</x:v>
      </x:c>
      <x:c r="L190" s="140" t="n">
        <x:v>48150</x:v>
      </x:c>
      <x:c r="M190" s="140" t="n">
        <x:v>26280</x:v>
      </x:c>
      <x:c r="N190" s="140" t="n">
        <x:v>21870</x:v>
      </x:c>
      <x:c r="O190" s="142" t="n">
        <x:v>0.4542056074766355</x:v>
      </x:c>
      <x:c r="P190" t="str">
        <x:v>Existing</x:v>
      </x:c>
      <x:c r="Q190" t="str">
        <x:v>Online</x:v>
      </x:c>
      <x:c r="R190" s="140" t="n">
        <x:v>48100</x:v>
      </x:c>
      <x:c r="S190" s="142" t="n">
        <x:v>1.001039501039501</x:v>
      </x:c>
      <x:c r="T190" s="142" t="n">
        <x:v>0.14986460140205277</x:v>
      </x:c>
      <x:c r="U190" t="str">
        <x:v>Completed</x:v>
      </x:c>
      <x:c r="V190" s="142" t="n">
        <x:v>0.08</x:v>
      </x:c>
      <x:c r="W190" t="n">
        <x:v>4.8</x:v>
      </x:c>
    </x:row>
    <x:row r="191">
      <x:c r="A191" t="str">
        <x:v>ORD-10190</x:v>
      </x:c>
      <x:c r="B191" s="138" t="n">
        <x:v>45823</x:v>
      </x:c>
      <x:c r="C191" t="str">
        <x:v>Jun</x:v>
      </x:c>
      <x:c r="D191" t="str">
        <x:v>Q2</x:v>
      </x:c>
      <x:c r="E191" t="str">
        <x:v>South</x:v>
      </x:c>
      <x:c r="F191" t="str">
        <x:v>Bengaluru</x:v>
      </x:c>
      <x:c r="G191" t="str">
        <x:v>Vikram Rao</x:v>
      </x:c>
      <x:c r="H191" t="str">
        <x:v>Electronics</x:v>
      </x:c>
      <x:c r="I191" t="str">
        <x:v>Tablet Plus</x:v>
      </x:c>
      <x:c r="J191" t="n">
        <x:v>6</x:v>
      </x:c>
      <x:c r="K191" s="140" t="n">
        <x:v>25880</x:v>
      </x:c>
      <x:c r="L191" s="140" t="n">
        <x:v>155280</x:v>
      </x:c>
      <x:c r="M191" s="140" t="n">
        <x:v>110400</x:v>
      </x:c>
      <x:c r="N191" s="140" t="n">
        <x:v>44880</x:v>
      </x:c>
      <x:c r="O191" s="142" t="n">
        <x:v>0.2890262751159196</x:v>
      </x:c>
      <x:c r="P191" t="str">
        <x:v>Existing</x:v>
      </x:c>
      <x:c r="Q191" t="str">
        <x:v>Offline</x:v>
      </x:c>
      <x:c r="R191" s="140" t="n">
        <x:v>159000</x:v>
      </x:c>
      <x:c r="S191" s="142" t="n">
        <x:v>0.9766037735849057</x:v>
      </x:c>
      <x:c r="T191" s="142" t="n">
        <x:v>0.106634361621025</x:v>
      </x:c>
      <x:c r="U191" t="str">
        <x:v>Pending</x:v>
      </x:c>
      <x:c r="V191" s="142" t="n">
        <x:v>0</x:v>
      </x:c>
      <x:c r="W191" t="n">
        <x:v>4.6</x:v>
      </x:c>
    </x:row>
    <x:row r="192">
      <x:c r="A192" t="str">
        <x:v>ORD-10191</x:v>
      </x:c>
      <x:c r="B192" s="138" t="n">
        <x:v>45755</x:v>
      </x:c>
      <x:c r="C192" t="str">
        <x:v>Apr</x:v>
      </x:c>
      <x:c r="D192" t="str">
        <x:v>Q2</x:v>
      </x:c>
      <x:c r="E192" t="str">
        <x:v>West</x:v>
      </x:c>
      <x:c r="F192" t="str">
        <x:v>Mumbai</x:v>
      </x:c>
      <x:c r="G192" t="str">
        <x:v>Meera Patel</x:v>
      </x:c>
      <x:c r="H192" t="str">
        <x:v>Home</x:v>
      </x:c>
      <x:c r="I192" t="str">
        <x:v>Vacuum Cleaner</x:v>
      </x:c>
      <x:c r="J192" t="n">
        <x:v>13</x:v>
      </x:c>
      <x:c r="K192" s="140" t="n">
        <x:v>10950</x:v>
      </x:c>
      <x:c r="L192" s="140" t="n">
        <x:v>142350</x:v>
      </x:c>
      <x:c r="M192" s="140" t="n">
        <x:v>92300</x:v>
      </x:c>
      <x:c r="N192" s="140" t="n">
        <x:v>50050</x:v>
      </x:c>
      <x:c r="O192" s="142" t="n">
        <x:v>0.3515981735159817</x:v>
      </x:c>
      <x:c r="P192" t="str">
        <x:v>Existing</x:v>
      </x:c>
      <x:c r="Q192" t="str">
        <x:v>Online</x:v>
      </x:c>
      <x:c r="R192" s="140" t="n">
        <x:v>157800</x:v>
      </x:c>
      <x:c r="S192" s="142" t="n">
        <x:v>0.9020912547528517</x:v>
      </x:c>
      <x:c r="T192" s="142" t="n">
        <x:v>0.16514878392200255</x:v>
      </x:c>
      <x:c r="U192" t="str">
        <x:v>Pending</x:v>
      </x:c>
      <x:c r="V192" s="142" t="n">
        <x:v>0.08</x:v>
      </x:c>
      <x:c r="W192" t="n">
        <x:v>3.9</x:v>
      </x:c>
    </x:row>
    <x:row r="193">
      <x:c r="A193" t="str">
        <x:v>ORD-10192</x:v>
      </x:c>
      <x:c r="B193" s="138" t="n">
        <x:v>45870</x:v>
      </x:c>
      <x:c r="C193" t="str">
        <x:v>Aug</x:v>
      </x:c>
      <x:c r="D193" t="str">
        <x:v>Q3</x:v>
      </x:c>
      <x:c r="E193" t="str">
        <x:v>South</x:v>
      </x:c>
      <x:c r="F193" t="str">
        <x:v>Bengaluru</x:v>
      </x:c>
      <x:c r="G193" t="str">
        <x:v>Vikram Rao</x:v>
      </x:c>
      <x:c r="H193" t="str">
        <x:v>Accessories</x:v>
      </x:c>
      <x:c r="I193" t="str">
        <x:v>Keyboard</x:v>
      </x:c>
      <x:c r="J193" t="n">
        <x:v>9</x:v>
      </x:c>
      <x:c r="K193" s="140" t="n">
        <x:v>3780</x:v>
      </x:c>
      <x:c r="L193" s="140" t="n">
        <x:v>34020</x:v>
      </x:c>
      <x:c r="M193" s="140" t="n">
        <x:v>15840</x:v>
      </x:c>
      <x:c r="N193" s="140" t="n">
        <x:v>18180</x:v>
      </x:c>
      <x:c r="O193" s="142" t="n">
        <x:v>0.5343915343915344</x:v>
      </x:c>
      <x:c r="P193" t="str">
        <x:v>Existing</x:v>
      </x:c>
      <x:c r="Q193" t="str">
        <x:v>Online</x:v>
      </x:c>
      <x:c r="R193" s="140" t="n">
        <x:v>39000</x:v>
      </x:c>
      <x:c r="S193" s="142" t="n">
        <x:v>0.8723076923076923</x:v>
      </x:c>
      <x:c r="T193" s="142" t="n">
        <x:v>0.03636108598485226</x:v>
      </x:c>
      <x:c r="U193" t="str">
        <x:v>Completed</x:v>
      </x:c>
      <x:c r="V193" s="142" t="n">
        <x:v>0.05</x:v>
      </x:c>
      <x:c r="W193" t="n">
        <x:v>4.8</x:v>
      </x:c>
    </x:row>
    <x:row r="194">
      <x:c r="A194" t="str">
        <x:v>ORD-10193</x:v>
      </x:c>
      <x:c r="B194" s="138" t="n">
        <x:v>46011</x:v>
      </x:c>
      <x:c r="C194" t="str">
        <x:v>Dec</x:v>
      </x:c>
      <x:c r="D194" t="str">
        <x:v>Q4</x:v>
      </x:c>
      <x:c r="E194" t="str">
        <x:v>North</x:v>
      </x:c>
      <x:c r="F194" t="str">
        <x:v>Jaipur</x:v>
      </x:c>
      <x:c r="G194" t="str">
        <x:v>Arjun Malhotra</x:v>
      </x:c>
      <x:c r="H194" t="str">
        <x:v>Accessories</x:v>
      </x:c>
      <x:c r="I194" t="str">
        <x:v>Headphones</x:v>
      </x:c>
      <x:c r="J194" t="n">
        <x:v>9</x:v>
      </x:c>
      <x:c r="K194" s="140" t="n">
        <x:v>5350</x:v>
      </x:c>
      <x:c r="L194" s="140" t="n">
        <x:v>48150</x:v>
      </x:c>
      <x:c r="M194" s="140" t="n">
        <x:v>26280</x:v>
      </x:c>
      <x:c r="N194" s="140" t="n">
        <x:v>21870</x:v>
      </x:c>
      <x:c r="O194" s="142" t="n">
        <x:v>0.4542056074766355</x:v>
      </x:c>
      <x:c r="P194" t="str">
        <x:v>New</x:v>
      </x:c>
      <x:c r="Q194" t="str">
        <x:v>Online</x:v>
      </x:c>
      <x:c r="R194" s="140" t="n">
        <x:v>45900</x:v>
      </x:c>
      <x:c r="S194" s="142" t="n">
        <x:v>1.0490196078431373</x:v>
      </x:c>
      <x:c r="T194" s="142" t="n">
        <x:v>0.17033344263930422</x:v>
      </x:c>
      <x:c r="U194" t="str">
        <x:v>Completed</x:v>
      </x:c>
      <x:c r="V194" s="142" t="n">
        <x:v>0.05</x:v>
      </x:c>
      <x:c r="W194" t="n">
        <x:v>4.6</x:v>
      </x:c>
    </x:row>
    <x:row r="195">
      <x:c r="A195" t="str">
        <x:v>ORD-10194</x:v>
      </x:c>
      <x:c r="B195" s="138" t="n">
        <x:v>45822</x:v>
      </x:c>
      <x:c r="C195" t="str">
        <x:v>Jun</x:v>
      </x:c>
      <x:c r="D195" t="str">
        <x:v>Q2</x:v>
      </x:c>
      <x:c r="E195" t="str">
        <x:v>West</x:v>
      </x:c>
      <x:c r="F195" t="str">
        <x:v>Mumbai</x:v>
      </x:c>
      <x:c r="G195" t="str">
        <x:v>Kabir Shah</x:v>
      </x:c>
      <x:c r="H195" t="str">
        <x:v>Home</x:v>
      </x:c>
      <x:c r="I195" t="str">
        <x:v>Microwave</x:v>
      </x:c>
      <x:c r="J195" t="n">
        <x:v>11</x:v>
      </x:c>
      <x:c r="K195" s="140" t="n">
        <x:v>13640</x:v>
      </x:c>
      <x:c r="L195" s="140" t="n">
        <x:v>150040</x:v>
      </x:c>
      <x:c r="M195" s="140" t="n">
        <x:v>90750</x:v>
      </x:c>
      <x:c r="N195" s="140" t="n">
        <x:v>59290</x:v>
      </x:c>
      <x:c r="O195" s="142" t="n">
        <x:v>0.3951612903225806</x:v>
      </x:c>
      <x:c r="P195" t="str">
        <x:v>Existing</x:v>
      </x:c>
      <x:c r="Q195" t="str">
        <x:v>Offline</x:v>
      </x:c>
      <x:c r="R195" s="140" t="n">
        <x:v>148800</x:v>
      </x:c>
      <x:c r="S195" s="142" t="n">
        <x:v>1.0083333333333333</x:v>
      </x:c>
      <x:c r="T195" s="142" t="n">
        <x:v>-0.013154362728580477</x:v>
      </x:c>
      <x:c r="U195" t="str">
        <x:v>Completed</x:v>
      </x:c>
      <x:c r="V195" s="142" t="n">
        <x:v>0.03</x:v>
      </x:c>
      <x:c r="W195" t="n">
        <x:v>4.1</x:v>
      </x:c>
    </x:row>
    <x:row r="196">
      <x:c r="A196" t="str">
        <x:v>ORD-10195</x:v>
      </x:c>
      <x:c r="B196" s="138" t="n">
        <x:v>45880</x:v>
      </x:c>
      <x:c r="C196" t="str">
        <x:v>Aug</x:v>
      </x:c>
      <x:c r="D196" t="str">
        <x:v>Q3</x:v>
      </x:c>
      <x:c r="E196" t="str">
        <x:v>South</x:v>
      </x:c>
      <x:c r="F196" t="str">
        <x:v>Chennai</x:v>
      </x:c>
      <x:c r="G196" t="str">
        <x:v>Vikram Rao</x:v>
      </x:c>
      <x:c r="H196" t="str">
        <x:v>Electronics</x:v>
      </x:c>
      <x:c r="I196" t="str">
        <x:v>Tablet Plus</x:v>
      </x:c>
      <x:c r="J196" t="n">
        <x:v>5</x:v>
      </x:c>
      <x:c r="K196" s="140" t="n">
        <x:v>26300</x:v>
      </x:c>
      <x:c r="L196" s="140" t="n">
        <x:v>131500</x:v>
      </x:c>
      <x:c r="M196" s="140" t="n">
        <x:v>92000</x:v>
      </x:c>
      <x:c r="N196" s="140" t="n">
        <x:v>39500</x:v>
      </x:c>
      <x:c r="O196" s="142" t="n">
        <x:v>0.30038022813688214</x:v>
      </x:c>
      <x:c r="P196" t="str">
        <x:v>Existing</x:v>
      </x:c>
      <x:c r="Q196" t="str">
        <x:v>Offline</x:v>
      </x:c>
      <x:c r="R196" s="140" t="n">
        <x:v>126300</x:v>
      </x:c>
      <x:c r="S196" s="142" t="n">
        <x:v>1.0411718131433096</x:v>
      </x:c>
      <x:c r="T196" s="142" t="n">
        <x:v>0.03377852141125254</x:v>
      </x:c>
      <x:c r="U196" t="str">
        <x:v>Completed</x:v>
      </x:c>
      <x:c r="V196" s="142" t="n">
        <x:v>0.03</x:v>
      </x:c>
      <x:c r="W196" t="n">
        <x:v>4</x:v>
      </x:c>
    </x:row>
    <x:row r="197">
      <x:c r="A197" t="str">
        <x:v>ORD-10196</x:v>
      </x:c>
      <x:c r="B197" s="138" t="n">
        <x:v>45701</x:v>
      </x:c>
      <x:c r="C197" t="str">
        <x:v>Feb</x:v>
      </x:c>
      <x:c r="D197" t="str">
        <x:v>Q1</x:v>
      </x:c>
      <x:c r="E197" t="str">
        <x:v>West</x:v>
      </x:c>
      <x:c r="F197" t="str">
        <x:v>Pune</x:v>
      </x:c>
      <x:c r="G197" t="str">
        <x:v>Meera Patel</x:v>
      </x:c>
      <x:c r="H197" t="str">
        <x:v>Home</x:v>
      </x:c>
      <x:c r="I197" t="str">
        <x:v>Microwave</x:v>
      </x:c>
      <x:c r="J197" t="n">
        <x:v>9</x:v>
      </x:c>
      <x:c r="K197" s="140" t="n">
        <x:v>12870</x:v>
      </x:c>
      <x:c r="L197" s="140" t="n">
        <x:v>115830</x:v>
      </x:c>
      <x:c r="M197" s="140" t="n">
        <x:v>74250</x:v>
      </x:c>
      <x:c r="N197" s="140" t="n">
        <x:v>41580</x:v>
      </x:c>
      <x:c r="O197" s="142" t="n">
        <x:v>0.358974358974359</x:v>
      </x:c>
      <x:c r="P197" t="str">
        <x:v>Existing</x:v>
      </x:c>
      <x:c r="Q197" t="str">
        <x:v>Online</x:v>
      </x:c>
      <x:c r="R197" s="140" t="n">
        <x:v>109300</x:v>
      </x:c>
      <x:c r="S197" s="142" t="n">
        <x:v>1.0597438243366881</x:v>
      </x:c>
      <x:c r="T197" s="142" t="n">
        <x:v>0.06139619349696142</x:v>
      </x:c>
      <x:c r="U197" t="str">
        <x:v>Completed</x:v>
      </x:c>
      <x:c r="V197" s="142" t="n">
        <x:v>0.08</x:v>
      </x:c>
      <x:c r="W197" t="n">
        <x:v>4.9</x:v>
      </x:c>
    </x:row>
    <x:row r="198">
      <x:c r="A198" t="str">
        <x:v>ORD-10197</x:v>
      </x:c>
      <x:c r="B198" s="138" t="n">
        <x:v>45697</x:v>
      </x:c>
      <x:c r="C198" t="str">
        <x:v>Feb</x:v>
      </x:c>
      <x:c r="D198" t="str">
        <x:v>Q1</x:v>
      </x:c>
      <x:c r="E198" t="str">
        <x:v>South</x:v>
      </x:c>
      <x:c r="F198" t="str">
        <x:v>Hyderabad</x:v>
      </x:c>
      <x:c r="G198" t="str">
        <x:v>Vikram Rao</x:v>
      </x:c>
      <x:c r="H198" t="str">
        <x:v>Accessories</x:v>
      </x:c>
      <x:c r="I198" t="str">
        <x:v>Headphones</x:v>
      </x:c>
      <x:c r="J198" t="n">
        <x:v>8</x:v>
      </x:c>
      <x:c r="K198" s="140" t="n">
        <x:v>5250</x:v>
      </x:c>
      <x:c r="L198" s="140" t="n">
        <x:v>42000</x:v>
      </x:c>
      <x:c r="M198" s="140" t="n">
        <x:v>23360</x:v>
      </x:c>
      <x:c r="N198" s="140" t="n">
        <x:v>18640</x:v>
      </x:c>
      <x:c r="O198" s="142" t="n">
        <x:v>0.4438095238095238</x:v>
      </x:c>
      <x:c r="P198" t="str">
        <x:v>Existing</x:v>
      </x:c>
      <x:c r="Q198" t="str">
        <x:v>Online</x:v>
      </x:c>
      <x:c r="R198" s="140" t="n">
        <x:v>44000</x:v>
      </x:c>
      <x:c r="S198" s="142" t="n">
        <x:v>0.9545454545454546</x:v>
      </x:c>
      <x:c r="T198" s="142" t="n">
        <x:v>0.1476453097786436</x:v>
      </x:c>
      <x:c r="U198" t="str">
        <x:v>Cancelled</x:v>
      </x:c>
      <x:c r="V198" s="142" t="n">
        <x:v>0.08</x:v>
      </x:c>
      <x:c r="W198" t="n">
        <x:v>4</x:v>
      </x:c>
    </x:row>
    <x:row r="199">
      <x:c r="A199" t="str">
        <x:v>ORD-10198</x:v>
      </x:c>
      <x:c r="B199" s="138" t="n">
        <x:v>45941</x:v>
      </x:c>
      <x:c r="C199" t="str">
        <x:v>Oct</x:v>
      </x:c>
      <x:c r="D199" t="str">
        <x:v>Q4</x:v>
      </x:c>
      <x:c r="E199" t="str">
        <x:v>South</x:v>
      </x:c>
      <x:c r="F199" t="str">
        <x:v>Hyderabad</x:v>
      </x:c>
      <x:c r="G199" t="str">
        <x:v>Ananya Iyer</x:v>
      </x:c>
      <x:c r="H199" t="str">
        <x:v>Home</x:v>
      </x:c>
      <x:c r="I199" t="str">
        <x:v>Vacuum Cleaner</x:v>
      </x:c>
      <x:c r="J199" t="n">
        <x:v>7</x:v>
      </x:c>
      <x:c r="K199" s="140" t="n">
        <x:v>11530</x:v>
      </x:c>
      <x:c r="L199" s="140" t="n">
        <x:v>80710</x:v>
      </x:c>
      <x:c r="M199" s="140" t="n">
        <x:v>49700</x:v>
      </x:c>
      <x:c r="N199" s="140" t="n">
        <x:v>31010</x:v>
      </x:c>
      <x:c r="O199" s="142" t="n">
        <x:v>0.3842150910667823</x:v>
      </x:c>
      <x:c r="P199" t="str">
        <x:v>New</x:v>
      </x:c>
      <x:c r="Q199" t="str">
        <x:v>Offline</x:v>
      </x:c>
      <x:c r="R199" s="140" t="n">
        <x:v>88500</x:v>
      </x:c>
      <x:c r="S199" s="142" t="n">
        <x:v>0.9119774011299435</x:v>
      </x:c>
      <x:c r="T199" s="142" t="n">
        <x:v>0.044109420537886926</x:v>
      </x:c>
      <x:c r="U199" t="str">
        <x:v>Completed</x:v>
      </x:c>
      <x:c r="V199" s="142" t="n">
        <x:v>0</x:v>
      </x:c>
      <x:c r="W199" t="n">
        <x:v>4.5</x:v>
      </x:c>
    </x:row>
    <x:row r="200">
      <x:c r="A200" t="str">
        <x:v>ORD-10199</x:v>
      </x:c>
      <x:c r="B200" s="138" t="n">
        <x:v>45822</x:v>
      </x:c>
      <x:c r="C200" t="str">
        <x:v>Jun</x:v>
      </x:c>
      <x:c r="D200" t="str">
        <x:v>Q2</x:v>
      </x:c>
      <x:c r="E200" t="str">
        <x:v>East</x:v>
      </x:c>
      <x:c r="F200" t="str">
        <x:v>Bhubaneswar</x:v>
      </x:c>
      <x:c r="G200" t="str">
        <x:v>Aarav Sen</x:v>
      </x:c>
      <x:c r="H200" t="str">
        <x:v>Electronics</x:v>
      </x:c>
      <x:c r="I200" t="str">
        <x:v>Smartphone X</x:v>
      </x:c>
      <x:c r="J200" t="n">
        <x:v>4</x:v>
      </x:c>
      <x:c r="K200" s="140" t="n">
        <x:v>31480</x:v>
      </x:c>
      <x:c r="L200" s="140" t="n">
        <x:v>125920</x:v>
      </x:c>
      <x:c r="M200" s="140" t="n">
        <x:v>91200</x:v>
      </x:c>
      <x:c r="N200" s="140" t="n">
        <x:v>34720</x:v>
      </x:c>
      <x:c r="O200" s="142" t="n">
        <x:v>0.27573062261753495</x:v>
      </x:c>
      <x:c r="P200" t="str">
        <x:v>Existing</x:v>
      </x:c>
      <x:c r="Q200" t="str">
        <x:v>Online</x:v>
      </x:c>
      <x:c r="R200" s="140" t="n">
        <x:v>145700</x:v>
      </x:c>
      <x:c r="S200" s="142" t="n">
        <x:v>0.8642415923129718</x:v>
      </x:c>
      <x:c r="T200" s="142" t="n">
        <x:v>-0.02490052263414568</x:v>
      </x:c>
      <x:c r="U200" t="str">
        <x:v>Completed</x:v>
      </x:c>
      <x:c r="V200" s="142" t="n">
        <x:v>0.03</x:v>
      </x:c>
      <x:c r="W200" t="n">
        <x:v>4.5</x:v>
      </x:c>
    </x:row>
    <x:row r="201">
      <x:c r="A201" t="str">
        <x:v>ORD-10200</x:v>
      </x:c>
      <x:c r="B201" s="138" t="n">
        <x:v>45867</x:v>
      </x:c>
      <x:c r="C201" t="str">
        <x:v>Jul</x:v>
      </x:c>
      <x:c r="D201" t="str">
        <x:v>Q3</x:v>
      </x:c>
      <x:c r="E201" t="str">
        <x:v>South</x:v>
      </x:c>
      <x:c r="F201" t="str">
        <x:v>Hyderabad</x:v>
      </x:c>
      <x:c r="G201" t="str">
        <x:v>Vikram Rao</x:v>
      </x:c>
      <x:c r="H201" t="str">
        <x:v>Accessories</x:v>
      </x:c>
      <x:c r="I201" t="str">
        <x:v>Wireless Mouse</x:v>
      </x:c>
      <x:c r="J201" t="n">
        <x:v>14</x:v>
      </x:c>
      <x:c r="K201" s="140" t="n">
        <x:v>2200</x:v>
      </x:c>
      <x:c r="L201" s="140" t="n">
        <x:v>30800</x:v>
      </x:c>
      <x:c r="M201" s="140" t="n">
        <x:v>13020</x:v>
      </x:c>
      <x:c r="N201" s="140" t="n">
        <x:v>17780</x:v>
      </x:c>
      <x:c r="O201" s="142" t="n">
        <x:v>0.5772727272727273</x:v>
      </x:c>
      <x:c r="P201" t="str">
        <x:v>Existing</x:v>
      </x:c>
      <x:c r="Q201" t="str">
        <x:v>Online</x:v>
      </x:c>
      <x:c r="R201" s="140" t="n">
        <x:v>33300</x:v>
      </x:c>
      <x:c r="S201" s="142" t="n">
        <x:v>0.924924924924925</x:v>
      </x:c>
      <x:c r="T201" s="142" t="n">
        <x:v>-0.033625952556650365</x:v>
      </x:c>
      <x:c r="U201" t="str">
        <x:v>Completed</x:v>
      </x:c>
      <x:c r="V201" s="142" t="n">
        <x:v>0</x:v>
      </x:c>
      <x:c r="W201" t="n">
        <x:v>4.1</x:v>
      </x:c>
    </x:row>
    <x:row r="202">
      <x:c r="A202" t="str">
        <x:v>ORD-10201</x:v>
      </x:c>
      <x:c r="B202" s="138" t="n">
        <x:v>45826</x:v>
      </x:c>
      <x:c r="C202" t="str">
        <x:v>Jun</x:v>
      </x:c>
      <x:c r="D202" t="str">
        <x:v>Q2</x:v>
      </x:c>
      <x:c r="E202" t="str">
        <x:v>North</x:v>
      </x:c>
      <x:c r="F202" t="str">
        <x:v>Jaipur</x:v>
      </x:c>
      <x:c r="G202" t="str">
        <x:v>Arjun Malhotra</x:v>
      </x:c>
      <x:c r="H202" t="str">
        <x:v>Accessories</x:v>
      </x:c>
      <x:c r="I202" t="str">
        <x:v>Keyboard</x:v>
      </x:c>
      <x:c r="J202" t="n">
        <x:v>16</x:v>
      </x:c>
      <x:c r="K202" s="140" t="n">
        <x:v>3640</x:v>
      </x:c>
      <x:c r="L202" s="140" t="n">
        <x:v>58240</x:v>
      </x:c>
      <x:c r="M202" s="140" t="n">
        <x:v>28160</x:v>
      </x:c>
      <x:c r="N202" s="140" t="n">
        <x:v>30080</x:v>
      </x:c>
      <x:c r="O202" s="142" t="n">
        <x:v>0.5164835164835165</x:v>
      </x:c>
      <x:c r="P202" t="str">
        <x:v>Existing</x:v>
      </x:c>
      <x:c r="Q202" t="str">
        <x:v>Offline</x:v>
      </x:c>
      <x:c r="R202" s="140" t="n">
        <x:v>55300</x:v>
      </x:c>
      <x:c r="S202" s="142" t="n">
        <x:v>1.0531645569620254</x:v>
      </x:c>
      <x:c r="T202" s="142" t="n">
        <x:v>0.07786521584494373</x:v>
      </x:c>
      <x:c r="U202" t="str">
        <x:v>Completed</x:v>
      </x:c>
      <x:c r="V202" s="142" t="n">
        <x:v>0.05</x:v>
      </x:c>
      <x:c r="W202" t="n">
        <x:v>3.5</x:v>
      </x:c>
    </x:row>
    <x:row r="203">
      <x:c r="A203" t="str">
        <x:v>ORD-10202</x:v>
      </x:c>
      <x:c r="B203" s="138" t="n">
        <x:v>45915</x:v>
      </x:c>
      <x:c r="C203" t="str">
        <x:v>Sep</x:v>
      </x:c>
      <x:c r="D203" t="str">
        <x:v>Q3</x:v>
      </x:c>
      <x:c r="E203" t="str">
        <x:v>South</x:v>
      </x:c>
      <x:c r="F203" t="str">
        <x:v>Bengaluru</x:v>
      </x:c>
      <x:c r="G203" t="str">
        <x:v>Vikram Rao</x:v>
      </x:c>
      <x:c r="H203" t="str">
        <x:v>Accessories</x:v>
      </x:c>
      <x:c r="I203" t="str">
        <x:v>Keyboard</x:v>
      </x:c>
      <x:c r="J203" t="n">
        <x:v>11</x:v>
      </x:c>
      <x:c r="K203" s="140" t="n">
        <x:v>3840</x:v>
      </x:c>
      <x:c r="L203" s="140" t="n">
        <x:v>42240</x:v>
      </x:c>
      <x:c r="M203" s="140" t="n">
        <x:v>19360</x:v>
      </x:c>
      <x:c r="N203" s="140" t="n">
        <x:v>22880</x:v>
      </x:c>
      <x:c r="O203" s="142" t="n">
        <x:v>0.5416666666666666</x:v>
      </x:c>
      <x:c r="P203" t="str">
        <x:v>New</x:v>
      </x:c>
      <x:c r="Q203" t="str">
        <x:v>Online</x:v>
      </x:c>
      <x:c r="R203" s="140" t="n">
        <x:v>42400</x:v>
      </x:c>
      <x:c r="S203" s="142" t="n">
        <x:v>0.9962264150943396</x:v>
      </x:c>
      <x:c r="T203" s="142" t="n">
        <x:v>0.1301530805064568</x:v>
      </x:c>
      <x:c r="U203" t="str">
        <x:v>Completed</x:v>
      </x:c>
      <x:c r="V203" s="142" t="n">
        <x:v>0.05</x:v>
      </x:c>
      <x:c r="W203" t="n">
        <x:v>4.2</x:v>
      </x:c>
    </x:row>
    <x:row r="204">
      <x:c r="A204" t="str">
        <x:v>ORD-10203</x:v>
      </x:c>
      <x:c r="B204" s="138" t="n">
        <x:v>45776</x:v>
      </x:c>
      <x:c r="C204" t="str">
        <x:v>Apr</x:v>
      </x:c>
      <x:c r="D204" t="str">
        <x:v>Q2</x:v>
      </x:c>
      <x:c r="E204" t="str">
        <x:v>South</x:v>
      </x:c>
      <x:c r="F204" t="str">
        <x:v>Bengaluru</x:v>
      </x:c>
      <x:c r="G204" t="str">
        <x:v>Ananya Iyer</x:v>
      </x:c>
      <x:c r="H204" t="str">
        <x:v>Home</x:v>
      </x:c>
      <x:c r="I204" t="str">
        <x:v>Vacuum Cleaner</x:v>
      </x:c>
      <x:c r="J204" t="n">
        <x:v>11</x:v>
      </x:c>
      <x:c r="K204" s="140" t="n">
        <x:v>11040</x:v>
      </x:c>
      <x:c r="L204" s="140" t="n">
        <x:v>121440</x:v>
      </x:c>
      <x:c r="M204" s="140" t="n">
        <x:v>78100</x:v>
      </x:c>
      <x:c r="N204" s="140" t="n">
        <x:v>43340</x:v>
      </x:c>
      <x:c r="O204" s="142" t="n">
        <x:v>0.35688405797101447</x:v>
      </x:c>
      <x:c r="P204" t="str">
        <x:v>New</x:v>
      </x:c>
      <x:c r="Q204" t="str">
        <x:v>Offline</x:v>
      </x:c>
      <x:c r="R204" s="140" t="n">
        <x:v>128900</x:v>
      </x:c>
      <x:c r="S204" s="142" t="n">
        <x:v>0.9421256788207913</x:v>
      </x:c>
      <x:c r="T204" s="142" t="n">
        <x:v>0.08408135137429508</x:v>
      </x:c>
      <x:c r="U204" t="str">
        <x:v>Completed</x:v>
      </x:c>
      <x:c r="V204" s="142" t="n">
        <x:v>0.08</x:v>
      </x:c>
      <x:c r="W204" t="n">
        <x:v>4.2</x:v>
      </x:c>
    </x:row>
    <x:row r="205">
      <x:c r="A205" t="str">
        <x:v>ORD-10204</x:v>
      </x:c>
      <x:c r="B205" s="138" t="n">
        <x:v>45813</x:v>
      </x:c>
      <x:c r="C205" t="str">
        <x:v>Jun</x:v>
      </x:c>
      <x:c r="D205" t="str">
        <x:v>Q2</x:v>
      </x:c>
      <x:c r="E205" t="str">
        <x:v>East</x:v>
      </x:c>
      <x:c r="F205" t="str">
        <x:v>Patna</x:v>
      </x:c>
      <x:c r="G205" t="str">
        <x:v>Riya Das</x:v>
      </x:c>
      <x:c r="H205" t="str">
        <x:v>Office</x:v>
      </x:c>
      <x:c r="I205" t="str">
        <x:v>Ergonomic Chair</x:v>
      </x:c>
      <x:c r="J205" t="n">
        <x:v>15</x:v>
      </x:c>
      <x:c r="K205" s="140" t="n">
        <x:v>12260</x:v>
      </x:c>
      <x:c r="L205" s="140" t="n">
        <x:v>183900</x:v>
      </x:c>
      <x:c r="M205" s="140" t="n">
        <x:v>114000</x:v>
      </x:c>
      <x:c r="N205" s="140" t="n">
        <x:v>69900</x:v>
      </x:c>
      <x:c r="O205" s="142" t="n">
        <x:v>0.3800978792822186</x:v>
      </x:c>
      <x:c r="P205" t="str">
        <x:v>Existing</x:v>
      </x:c>
      <x:c r="Q205" t="str">
        <x:v>Offline</x:v>
      </x:c>
      <x:c r="R205" s="140" t="n">
        <x:v>214200</x:v>
      </x:c>
      <x:c r="S205" s="142" t="n">
        <x:v>0.8585434173669467</x:v>
      </x:c>
      <x:c r="T205" s="142" t="n">
        <x:v>0.10187319853203801</x:v>
      </x:c>
      <x:c r="U205" t="str">
        <x:v>Completed</x:v>
      </x:c>
      <x:c r="V205" s="142" t="n">
        <x:v>0.05</x:v>
      </x:c>
      <x:c r="W205" t="n">
        <x:v>4.6</x:v>
      </x:c>
    </x:row>
    <x:row r="206">
      <x:c r="A206" t="str">
        <x:v>ORD-10205</x:v>
      </x:c>
      <x:c r="B206" s="138" t="n">
        <x:v>45707</x:v>
      </x:c>
      <x:c r="C206" t="str">
        <x:v>Feb</x:v>
      </x:c>
      <x:c r="D206" t="str">
        <x:v>Q1</x:v>
      </x:c>
      <x:c r="E206" t="str">
        <x:v>South</x:v>
      </x:c>
      <x:c r="F206" t="str">
        <x:v>Chennai</x:v>
      </x:c>
      <x:c r="G206" t="str">
        <x:v>Vikram Rao</x:v>
      </x:c>
      <x:c r="H206" t="str">
        <x:v>Electronics</x:v>
      </x:c>
      <x:c r="I206" t="str">
        <x:v>Tablet Plus</x:v>
      </x:c>
      <x:c r="J206" t="n">
        <x:v>9</x:v>
      </x:c>
      <x:c r="K206" s="140" t="n">
        <x:v>26180</x:v>
      </x:c>
      <x:c r="L206" s="140" t="n">
        <x:v>235620</x:v>
      </x:c>
      <x:c r="M206" s="140" t="n">
        <x:v>165600</x:v>
      </x:c>
      <x:c r="N206" s="140" t="n">
        <x:v>70020</x:v>
      </x:c>
      <x:c r="O206" s="142" t="n">
        <x:v>0.29717341482047366</x:v>
      </x:c>
      <x:c r="P206" t="str">
        <x:v>New</x:v>
      </x:c>
      <x:c r="Q206" t="str">
        <x:v>Offline</x:v>
      </x:c>
      <x:c r="R206" s="140" t="n">
        <x:v>259500</x:v>
      </x:c>
      <x:c r="S206" s="142" t="n">
        <x:v>0.9079768786127168</x:v>
      </x:c>
      <x:c r="T206" s="142" t="n">
        <x:v>0.015062704058943582</x:v>
      </x:c>
      <x:c r="U206" t="str">
        <x:v>Completed</x:v>
      </x:c>
      <x:c r="V206" s="142" t="n">
        <x:v>0</x:v>
      </x:c>
      <x:c r="W206" t="n">
        <x:v>4.8</x:v>
      </x:c>
    </x:row>
    <x:row r="207">
      <x:c r="A207" t="str">
        <x:v>ORD-10206</x:v>
      </x:c>
      <x:c r="B207" s="138" t="n">
        <x:v>45722</x:v>
      </x:c>
      <x:c r="C207" t="str">
        <x:v>Mar</x:v>
      </x:c>
      <x:c r="D207" t="str">
        <x:v>Q1</x:v>
      </x:c>
      <x:c r="E207" t="str">
        <x:v>North</x:v>
      </x:c>
      <x:c r="F207" t="str">
        <x:v>Delhi</x:v>
      </x:c>
      <x:c r="G207" t="str">
        <x:v>Arjun Malhotra</x:v>
      </x:c>
      <x:c r="H207" t="str">
        <x:v>Office</x:v>
      </x:c>
      <x:c r="I207" t="str">
        <x:v>Ergonomic Chair</x:v>
      </x:c>
      <x:c r="J207" t="n">
        <x:v>1</x:v>
      </x:c>
      <x:c r="K207" s="140" t="n">
        <x:v>11270</x:v>
      </x:c>
      <x:c r="L207" s="140" t="n">
        <x:v>11270</x:v>
      </x:c>
      <x:c r="M207" s="140" t="n">
        <x:v>7600</x:v>
      </x:c>
      <x:c r="N207" s="140" t="n">
        <x:v>3670</x:v>
      </x:c>
      <x:c r="O207" s="142" t="n">
        <x:v>0.3256433007985803</x:v>
      </x:c>
      <x:c r="P207" t="str">
        <x:v>Existing</x:v>
      </x:c>
      <x:c r="Q207" t="str">
        <x:v>Online</x:v>
      </x:c>
      <x:c r="R207" s="140" t="n">
        <x:v>12900</x:v>
      </x:c>
      <x:c r="S207" s="142" t="n">
        <x:v>0.8736434108527131</x:v>
      </x:c>
      <x:c r="T207" s="142" t="n">
        <x:v>0.1610235456546591</x:v>
      </x:c>
      <x:c r="U207" t="str">
        <x:v>Completed</x:v>
      </x:c>
      <x:c r="V207" s="142" t="n">
        <x:v>0.08</x:v>
      </x:c>
      <x:c r="W207" t="n">
        <x:v>4.1</x:v>
      </x:c>
    </x:row>
    <x:row r="208">
      <x:c r="A208" t="str">
        <x:v>ORD-10207</x:v>
      </x:c>
      <x:c r="B208" s="138" t="n">
        <x:v>45755</x:v>
      </x:c>
      <x:c r="C208" t="str">
        <x:v>Apr</x:v>
      </x:c>
      <x:c r="D208" t="str">
        <x:v>Q2</x:v>
      </x:c>
      <x:c r="E208" t="str">
        <x:v>South</x:v>
      </x:c>
      <x:c r="F208" t="str">
        <x:v>Chennai</x:v>
      </x:c>
      <x:c r="G208" t="str">
        <x:v>Ananya Iyer</x:v>
      </x:c>
      <x:c r="H208" t="str">
        <x:v>Office</x:v>
      </x:c>
      <x:c r="I208" t="str">
        <x:v>Ergonomic Chair</x:v>
      </x:c>
      <x:c r="J208" t="n">
        <x:v>8</x:v>
      </x:c>
      <x:c r="K208" s="140" t="n">
        <x:v>11230</x:v>
      </x:c>
      <x:c r="L208" s="140" t="n">
        <x:v>89840</x:v>
      </x:c>
      <x:c r="M208" s="140" t="n">
        <x:v>60800</x:v>
      </x:c>
      <x:c r="N208" s="140" t="n">
        <x:v>29040</x:v>
      </x:c>
      <x:c r="O208" s="142" t="n">
        <x:v>0.3232413178984862</x:v>
      </x:c>
      <x:c r="P208" t="str">
        <x:v>New</x:v>
      </x:c>
      <x:c r="Q208" t="str">
        <x:v>Online</x:v>
      </x:c>
      <x:c r="R208" s="140" t="n">
        <x:v>92700</x:v>
      </x:c>
      <x:c r="S208" s="142" t="n">
        <x:v>0.9691477885652643</x:v>
      </x:c>
      <x:c r="T208" s="142" t="n">
        <x:v>-0.055715130684801856</x:v>
      </x:c>
      <x:c r="U208" t="str">
        <x:v>Completed</x:v>
      </x:c>
      <x:c r="V208" s="142" t="n">
        <x:v>0.08</x:v>
      </x:c>
      <x:c r="W208" t="n">
        <x:v>4.5</x:v>
      </x:c>
    </x:row>
    <x:row r="209">
      <x:c r="A209" t="str">
        <x:v>ORD-10208</x:v>
      </x:c>
      <x:c r="B209" s="138" t="n">
        <x:v>45937</x:v>
      </x:c>
      <x:c r="C209" t="str">
        <x:v>Oct</x:v>
      </x:c>
      <x:c r="D209" t="str">
        <x:v>Q4</x:v>
      </x:c>
      <x:c r="E209" t="str">
        <x:v>West</x:v>
      </x:c>
      <x:c r="F209" t="str">
        <x:v>Pune</x:v>
      </x:c>
      <x:c r="G209" t="str">
        <x:v>Kabir Shah</x:v>
      </x:c>
      <x:c r="H209" t="str">
        <x:v>Accessories</x:v>
      </x:c>
      <x:c r="I209" t="str">
        <x:v>Wireless Mouse</x:v>
      </x:c>
      <x:c r="J209" t="n">
        <x:v>3</x:v>
      </x:c>
      <x:c r="K209" s="140" t="n">
        <x:v>2190</x:v>
      </x:c>
      <x:c r="L209" s="140" t="n">
        <x:v>6570</x:v>
      </x:c>
      <x:c r="M209" s="140" t="n">
        <x:v>2790</x:v>
      </x:c>
      <x:c r="N209" s="140" t="n">
        <x:v>3780</x:v>
      </x:c>
      <x:c r="O209" s="142" t="n">
        <x:v>0.5753424657534246</x:v>
      </x:c>
      <x:c r="P209" t="str">
        <x:v>New</x:v>
      </x:c>
      <x:c r="Q209" t="str">
        <x:v>Online</x:v>
      </x:c>
      <x:c r="R209" s="140" t="n">
        <x:v>6100</x:v>
      </x:c>
      <x:c r="S209" s="142" t="n">
        <x:v>1.0770491803278688</x:v>
      </x:c>
      <x:c r="T209" s="142" t="n">
        <x:v>0.06364333830835488</x:v>
      </x:c>
      <x:c r="U209" t="str">
        <x:v>Completed</x:v>
      </x:c>
      <x:c r="V209" s="142" t="n">
        <x:v>0</x:v>
      </x:c>
      <x:c r="W209" t="n">
        <x:v>3.7</x:v>
      </x:c>
    </x:row>
    <x:row r="210">
      <x:c r="A210" t="str">
        <x:v>ORD-10209</x:v>
      </x:c>
      <x:c r="B210" s="138" t="n">
        <x:v>45944</x:v>
      </x:c>
      <x:c r="C210" t="str">
        <x:v>Oct</x:v>
      </x:c>
      <x:c r="D210" t="str">
        <x:v>Q4</x:v>
      </x:c>
      <x:c r="E210" t="str">
        <x:v>East</x:v>
      </x:c>
      <x:c r="F210" t="str">
        <x:v>Bhubaneswar</x:v>
      </x:c>
      <x:c r="G210" t="str">
        <x:v>Aarav Sen</x:v>
      </x:c>
      <x:c r="H210" t="str">
        <x:v>Home</x:v>
      </x:c>
      <x:c r="I210" t="str">
        <x:v>Vacuum Cleaner</x:v>
      </x:c>
      <x:c r="J210" t="n">
        <x:v>4</x:v>
      </x:c>
      <x:c r="K210" s="140" t="n">
        <x:v>11540</x:v>
      </x:c>
      <x:c r="L210" s="140" t="n">
        <x:v>46160</x:v>
      </x:c>
      <x:c r="M210" s="140" t="n">
        <x:v>28400</x:v>
      </x:c>
      <x:c r="N210" s="140" t="n">
        <x:v>17760</x:v>
      </x:c>
      <x:c r="O210" s="142" t="n">
        <x:v>0.3847487001733102</x:v>
      </x:c>
      <x:c r="P210" t="str">
        <x:v>New</x:v>
      </x:c>
      <x:c r="Q210" t="str">
        <x:v>Offline</x:v>
      </x:c>
      <x:c r="R210" s="140" t="n">
        <x:v>51700</x:v>
      </x:c>
      <x:c r="S210" s="142" t="n">
        <x:v>0.8928433268858801</x:v>
      </x:c>
      <x:c r="T210" s="142" t="n">
        <x:v>0.06533325671344063</x:v>
      </x:c>
      <x:c r="U210" t="str">
        <x:v>Completed</x:v>
      </x:c>
      <x:c r="V210" s="142" t="n">
        <x:v>0</x:v>
      </x:c>
      <x:c r="W210" t="n">
        <x:v>4</x:v>
      </x:c>
    </x:row>
    <x:row r="211">
      <x:c r="A211" t="str">
        <x:v>ORD-10210</x:v>
      </x:c>
      <x:c r="B211" s="138" t="n">
        <x:v>45779</x:v>
      </x:c>
      <x:c r="C211" t="str">
        <x:v>May</x:v>
      </x:c>
      <x:c r="D211" t="str">
        <x:v>Q2</x:v>
      </x:c>
      <x:c r="E211" t="str">
        <x:v>South</x:v>
      </x:c>
      <x:c r="F211" t="str">
        <x:v>Hyderabad</x:v>
      </x:c>
      <x:c r="G211" t="str">
        <x:v>Ananya Iyer</x:v>
      </x:c>
      <x:c r="H211" t="str">
        <x:v>Electronics</x:v>
      </x:c>
      <x:c r="I211" t="str">
        <x:v>Tablet Plus</x:v>
      </x:c>
      <x:c r="J211" t="n">
        <x:v>9</x:v>
      </x:c>
      <x:c r="K211" s="140" t="n">
        <x:v>24690</x:v>
      </x:c>
      <x:c r="L211" s="140" t="n">
        <x:v>222210</x:v>
      </x:c>
      <x:c r="M211" s="140" t="n">
        <x:v>165600</x:v>
      </x:c>
      <x:c r="N211" s="140" t="n">
        <x:v>56610</x:v>
      </x:c>
      <x:c r="O211" s="142" t="n">
        <x:v>0.254759011745646</x:v>
      </x:c>
      <x:c r="P211" t="str">
        <x:v>Existing</x:v>
      </x:c>
      <x:c r="Q211" t="str">
        <x:v>Offline</x:v>
      </x:c>
      <x:c r="R211" s="140" t="n">
        <x:v>258800</x:v>
      </x:c>
      <x:c r="S211" s="142" t="n">
        <x:v>0.8586166924265842</x:v>
      </x:c>
      <x:c r="T211" s="142" t="n">
        <x:v>0.1505835529615343</x:v>
      </x:c>
      <x:c r="U211" t="str">
        <x:v>Completed</x:v>
      </x:c>
      <x:c r="V211" s="142" t="n">
        <x:v>0.03</x:v>
      </x:c>
      <x:c r="W211" t="n">
        <x:v>3.8</x:v>
      </x:c>
    </x:row>
    <x:row r="212">
      <x:c r="A212" t="str">
        <x:v>ORD-10211</x:v>
      </x:c>
      <x:c r="B212" s="138" t="n">
        <x:v>45660</x:v>
      </x:c>
      <x:c r="C212" t="str">
        <x:v>Jan</x:v>
      </x:c>
      <x:c r="D212" t="str">
        <x:v>Q1</x:v>
      </x:c>
      <x:c r="E212" t="str">
        <x:v>East</x:v>
      </x:c>
      <x:c r="F212" t="str">
        <x:v>Kolkata</x:v>
      </x:c>
      <x:c r="G212" t="str">
        <x:v>Riya Das</x:v>
      </x:c>
      <x:c r="H212" t="str">
        <x:v>Office</x:v>
      </x:c>
      <x:c r="I212" t="str">
        <x:v>Standing Desk</x:v>
      </x:c>
      <x:c r="J212" t="n">
        <x:v>15</x:v>
      </x:c>
      <x:c r="K212" s="140" t="n">
        <x:v>21810</x:v>
      </x:c>
      <x:c r="L212" s="140" t="n">
        <x:v>327150</x:v>
      </x:c>
      <x:c r="M212" s="140" t="n">
        <x:v>208500</x:v>
      </x:c>
      <x:c r="N212" s="140" t="n">
        <x:v>118650</x:v>
      </x:c>
      <x:c r="O212" s="142" t="n">
        <x:v>0.3626776707932141</x:v>
      </x:c>
      <x:c r="P212" t="str">
        <x:v>New</x:v>
      </x:c>
      <x:c r="Q212" t="str">
        <x:v>Online</x:v>
      </x:c>
      <x:c r="R212" s="140" t="n">
        <x:v>335500</x:v>
      </x:c>
      <x:c r="S212" s="142" t="n">
        <x:v>0.9751117734724292</x:v>
      </x:c>
      <x:c r="T212" s="142" t="n">
        <x:v>-0.0380371972757963</x:v>
      </x:c>
      <x:c r="U212" t="str">
        <x:v>Pending</x:v>
      </x:c>
      <x:c r="V212" s="142" t="n">
        <x:v>0</x:v>
      </x:c>
      <x:c r="W212" t="n">
        <x:v>4.7</x:v>
      </x:c>
    </x:row>
    <x:row r="213">
      <x:c r="A213" t="str">
        <x:v>ORD-10212</x:v>
      </x:c>
      <x:c r="B213" s="138" t="n">
        <x:v>45737</x:v>
      </x:c>
      <x:c r="C213" t="str">
        <x:v>Mar</x:v>
      </x:c>
      <x:c r="D213" t="str">
        <x:v>Q1</x:v>
      </x:c>
      <x:c r="E213" t="str">
        <x:v>East</x:v>
      </x:c>
      <x:c r="F213" t="str">
        <x:v>Bhubaneswar</x:v>
      </x:c>
      <x:c r="G213" t="str">
        <x:v>Aarav Sen</x:v>
      </x:c>
      <x:c r="H213" t="str">
        <x:v>Accessories</x:v>
      </x:c>
      <x:c r="I213" t="str">
        <x:v>Headphones</x:v>
      </x:c>
      <x:c r="J213" t="n">
        <x:v>11</x:v>
      </x:c>
      <x:c r="K213" s="140" t="n">
        <x:v>6050</x:v>
      </x:c>
      <x:c r="L213" s="140" t="n">
        <x:v>66550</x:v>
      </x:c>
      <x:c r="M213" s="140" t="n">
        <x:v>32120</x:v>
      </x:c>
      <x:c r="N213" s="140" t="n">
        <x:v>34430</x:v>
      </x:c>
      <x:c r="O213" s="142" t="n">
        <x:v>0.5173553719008265</x:v>
      </x:c>
      <x:c r="P213" t="str">
        <x:v>Existing</x:v>
      </x:c>
      <x:c r="Q213" t="str">
        <x:v>Offline</x:v>
      </x:c>
      <x:c r="R213" s="140" t="n">
        <x:v>68300</x:v>
      </x:c>
      <x:c r="S213" s="142" t="n">
        <x:v>0.9743777452415813</x:v>
      </x:c>
      <x:c r="T213" s="142" t="n">
        <x:v>0.017184317668793095</x:v>
      </x:c>
      <x:c r="U213" t="str">
        <x:v>Completed</x:v>
      </x:c>
      <x:c r="V213" s="142" t="n">
        <x:v>0</x:v>
      </x:c>
      <x:c r="W213" t="n">
        <x:v>3.7</x:v>
      </x:c>
    </x:row>
    <x:row r="214">
      <x:c r="A214" t="str">
        <x:v>ORD-10213</x:v>
      </x:c>
      <x:c r="B214" s="138" t="n">
        <x:v>45921</x:v>
      </x:c>
      <x:c r="C214" t="str">
        <x:v>Sep</x:v>
      </x:c>
      <x:c r="D214" t="str">
        <x:v>Q3</x:v>
      </x:c>
      <x:c r="E214" t="str">
        <x:v>East</x:v>
      </x:c>
      <x:c r="F214" t="str">
        <x:v>Kolkata</x:v>
      </x:c>
      <x:c r="G214" t="str">
        <x:v>Aarav Sen</x:v>
      </x:c>
      <x:c r="H214" t="str">
        <x:v>Office</x:v>
      </x:c>
      <x:c r="I214" t="str">
        <x:v>Ergonomic Chair</x:v>
      </x:c>
      <x:c r="J214" t="n">
        <x:v>13</x:v>
      </x:c>
      <x:c r="K214" s="140" t="n">
        <x:v>12650</x:v>
      </x:c>
      <x:c r="L214" s="140" t="n">
        <x:v>164450</x:v>
      </x:c>
      <x:c r="M214" s="140" t="n">
        <x:v>98800</x:v>
      </x:c>
      <x:c r="N214" s="140" t="n">
        <x:v>65650</x:v>
      </x:c>
      <x:c r="O214" s="142" t="n">
        <x:v>0.39920948616600793</x:v>
      </x:c>
      <x:c r="P214" t="str">
        <x:v>Existing</x:v>
      </x:c>
      <x:c r="Q214" t="str">
        <x:v>Offline</x:v>
      </x:c>
      <x:c r="R214" s="140" t="n">
        <x:v>170200</x:v>
      </x:c>
      <x:c r="S214" s="142" t="n">
        <x:v>0.9662162162162162</x:v>
      </x:c>
      <x:c r="T214" s="142" t="n">
        <x:v>0.15359095834200137</x:v>
      </x:c>
      <x:c r="U214" t="str">
        <x:v>Completed</x:v>
      </x:c>
      <x:c r="V214" s="142" t="n">
        <x:v>0</x:v>
      </x:c>
      <x:c r="W214" t="n">
        <x:v>3.8</x:v>
      </x:c>
    </x:row>
    <x:row r="215">
      <x:c r="A215" t="str">
        <x:v>ORD-10214</x:v>
      </x:c>
      <x:c r="B215" s="138" t="n">
        <x:v>45736</x:v>
      </x:c>
      <x:c r="C215" t="str">
        <x:v>Mar</x:v>
      </x:c>
      <x:c r="D215" t="str">
        <x:v>Q1</x:v>
      </x:c>
      <x:c r="E215" t="str">
        <x:v>South</x:v>
      </x:c>
      <x:c r="F215" t="str">
        <x:v>Chennai</x:v>
      </x:c>
      <x:c r="G215" t="str">
        <x:v>Ananya Iyer</x:v>
      </x:c>
      <x:c r="H215" t="str">
        <x:v>Home</x:v>
      </x:c>
      <x:c r="I215" t="str">
        <x:v>Microwave</x:v>
      </x:c>
      <x:c r="J215" t="n">
        <x:v>12</x:v>
      </x:c>
      <x:c r="K215" s="140" t="n">
        <x:v>13470</x:v>
      </x:c>
      <x:c r="L215" s="140" t="n">
        <x:v>161640</x:v>
      </x:c>
      <x:c r="M215" s="140" t="n">
        <x:v>99000</x:v>
      </x:c>
      <x:c r="N215" s="140" t="n">
        <x:v>62640</x:v>
      </x:c>
      <x:c r="O215" s="142" t="n">
        <x:v>0.38752783964365256</x:v>
      </x:c>
      <x:c r="P215" t="str">
        <x:v>New</x:v>
      </x:c>
      <x:c r="Q215" t="str">
        <x:v>Offline</x:v>
      </x:c>
      <x:c r="R215" s="140" t="n">
        <x:v>189700</x:v>
      </x:c>
      <x:c r="S215" s="142" t="n">
        <x:v>0.8520822351080654</x:v>
      </x:c>
      <x:c r="T215" s="142" t="n">
        <x:v>-0.03249113290235822</x:v>
      </x:c>
      <x:c r="U215" t="str">
        <x:v>Completed</x:v>
      </x:c>
      <x:c r="V215" s="142" t="n">
        <x:v>0.03</x:v>
      </x:c>
      <x:c r="W215" t="n">
        <x:v>3.9</x:v>
      </x:c>
    </x:row>
    <x:row r="216">
      <x:c r="A216" t="str">
        <x:v>ORD-10215</x:v>
      </x:c>
      <x:c r="B216" s="138" t="n">
        <x:v>45881</x:v>
      </x:c>
      <x:c r="C216" t="str">
        <x:v>Aug</x:v>
      </x:c>
      <x:c r="D216" t="str">
        <x:v>Q3</x:v>
      </x:c>
      <x:c r="E216" t="str">
        <x:v>North</x:v>
      </x:c>
      <x:c r="F216" t="str">
        <x:v>Lucknow</x:v>
      </x:c>
      <x:c r="G216" t="str">
        <x:v>Neha Verma</x:v>
      </x:c>
      <x:c r="H216" t="str">
        <x:v>Office</x:v>
      </x:c>
      <x:c r="I216" t="str">
        <x:v>Ergonomic Chair</x:v>
      </x:c>
      <x:c r="J216" t="n">
        <x:v>9</x:v>
      </x:c>
      <x:c r="K216" s="140" t="n">
        <x:v>12190</x:v>
      </x:c>
      <x:c r="L216" s="140" t="n">
        <x:v>109710</x:v>
      </x:c>
      <x:c r="M216" s="140" t="n">
        <x:v>68400</x:v>
      </x:c>
      <x:c r="N216" s="140" t="n">
        <x:v>41310</x:v>
      </x:c>
      <x:c r="O216" s="142" t="n">
        <x:v>0.37653814602132896</x:v>
      </x:c>
      <x:c r="P216" t="str">
        <x:v>Existing</x:v>
      </x:c>
      <x:c r="Q216" t="str">
        <x:v>Offline</x:v>
      </x:c>
      <x:c r="R216" s="140" t="n">
        <x:v>116600</x:v>
      </x:c>
      <x:c r="S216" s="142" t="n">
        <x:v>0.9409090909090909</x:v>
      </x:c>
      <x:c r="T216" s="142" t="n">
        <x:v>0.04072200483303465</x:v>
      </x:c>
      <x:c r="U216" t="str">
        <x:v>Completed</x:v>
      </x:c>
      <x:c r="V216" s="142" t="n">
        <x:v>0.05</x:v>
      </x:c>
      <x:c r="W216" t="n">
        <x:v>3.7</x:v>
      </x:c>
    </x:row>
    <x:row r="217">
      <x:c r="A217" t="str">
        <x:v>ORD-10216</x:v>
      </x:c>
      <x:c r="B217" s="138" t="n">
        <x:v>45929</x:v>
      </x:c>
      <x:c r="C217" t="str">
        <x:v>Sep</x:v>
      </x:c>
      <x:c r="D217" t="str">
        <x:v>Q3</x:v>
      </x:c>
      <x:c r="E217" t="str">
        <x:v>North</x:v>
      </x:c>
      <x:c r="F217" t="str">
        <x:v>Delhi</x:v>
      </x:c>
      <x:c r="G217" t="str">
        <x:v>Arjun Malhotra</x:v>
      </x:c>
      <x:c r="H217" t="str">
        <x:v>Office</x:v>
      </x:c>
      <x:c r="I217" t="str">
        <x:v>Ergonomic Chair</x:v>
      </x:c>
      <x:c r="J217" t="n">
        <x:v>7</x:v>
      </x:c>
      <x:c r="K217" s="140" t="n">
        <x:v>12520</x:v>
      </x:c>
      <x:c r="L217" s="140" t="n">
        <x:v>87640</x:v>
      </x:c>
      <x:c r="M217" s="140" t="n">
        <x:v>53200</x:v>
      </x:c>
      <x:c r="N217" s="140" t="n">
        <x:v>34440</x:v>
      </x:c>
      <x:c r="O217" s="142" t="n">
        <x:v>0.3929712460063898</x:v>
      </x:c>
      <x:c r="P217" t="str">
        <x:v>New</x:v>
      </x:c>
      <x:c r="Q217" t="str">
        <x:v>Offline</x:v>
      </x:c>
      <x:c r="R217" s="140" t="n">
        <x:v>102700</x:v>
      </x:c>
      <x:c r="S217" s="142" t="n">
        <x:v>0.8533592989289192</x:v>
      </x:c>
      <x:c r="T217" s="142" t="n">
        <x:v>-0.014075986899880766</x:v>
      </x:c>
      <x:c r="U217" t="str">
        <x:v>Completed</x:v>
      </x:c>
      <x:c r="V217" s="142" t="n">
        <x:v>0</x:v>
      </x:c>
      <x:c r="W217" t="n">
        <x:v>5</x:v>
      </x:c>
    </x:row>
    <x:row r="218">
      <x:c r="A218" t="str">
        <x:v>ORD-10217</x:v>
      </x:c>
      <x:c r="B218" s="138" t="n">
        <x:v>45895</x:v>
      </x:c>
      <x:c r="C218" t="str">
        <x:v>Aug</x:v>
      </x:c>
      <x:c r="D218" t="str">
        <x:v>Q3</x:v>
      </x:c>
      <x:c r="E218" t="str">
        <x:v>South</x:v>
      </x:c>
      <x:c r="F218" t="str">
        <x:v>Hyderabad</x:v>
      </x:c>
      <x:c r="G218" t="str">
        <x:v>Ananya Iyer</x:v>
      </x:c>
      <x:c r="H218" t="str">
        <x:v>Accessories</x:v>
      </x:c>
      <x:c r="I218" t="str">
        <x:v>Wireless Mouse</x:v>
      </x:c>
      <x:c r="J218" t="n">
        <x:v>4</x:v>
      </x:c>
      <x:c r="K218" s="140" t="n">
        <x:v>1970</x:v>
      </x:c>
      <x:c r="L218" s="140" t="n">
        <x:v>7880</x:v>
      </x:c>
      <x:c r="M218" s="140" t="n">
        <x:v>3720</x:v>
      </x:c>
      <x:c r="N218" s="140" t="n">
        <x:v>4160</x:v>
      </x:c>
      <x:c r="O218" s="142" t="n">
        <x:v>0.5279187817258884</x:v>
      </x:c>
      <x:c r="P218" t="str">
        <x:v>New</x:v>
      </x:c>
      <x:c r="Q218" t="str">
        <x:v>Offline</x:v>
      </x:c>
      <x:c r="R218" s="140" t="n">
        <x:v>8500</x:v>
      </x:c>
      <x:c r="S218" s="142" t="n">
        <x:v>0.9270588235294117</x:v>
      </x:c>
      <x:c r="T218" s="142" t="n">
        <x:v>-0.06689859735912729</x:v>
      </x:c>
      <x:c r="U218" t="str">
        <x:v>Completed</x:v>
      </x:c>
      <x:c r="V218" s="142" t="n">
        <x:v>0.08</x:v>
      </x:c>
      <x:c r="W218" t="n">
        <x:v>4.3</x:v>
      </x:c>
    </x:row>
    <x:row r="219">
      <x:c r="A219" t="str">
        <x:v>ORD-10218</x:v>
      </x:c>
      <x:c r="B219" s="138" t="n">
        <x:v>45834</x:v>
      </x:c>
      <x:c r="C219" t="str">
        <x:v>Jun</x:v>
      </x:c>
      <x:c r="D219" t="str">
        <x:v>Q2</x:v>
      </x:c>
      <x:c r="E219" t="str">
        <x:v>West</x:v>
      </x:c>
      <x:c r="F219" t="str">
        <x:v>Mumbai</x:v>
      </x:c>
      <x:c r="G219" t="str">
        <x:v>Meera Patel</x:v>
      </x:c>
      <x:c r="H219" t="str">
        <x:v>Electronics</x:v>
      </x:c>
      <x:c r="I219" t="str">
        <x:v>Tablet Plus</x:v>
      </x:c>
      <x:c r="J219" t="n">
        <x:v>6</x:v>
      </x:c>
      <x:c r="K219" s="140" t="n">
        <x:v>25410</x:v>
      </x:c>
      <x:c r="L219" s="140" t="n">
        <x:v>152460</x:v>
      </x:c>
      <x:c r="M219" s="140" t="n">
        <x:v>110400</x:v>
      </x:c>
      <x:c r="N219" s="140" t="n">
        <x:v>42060</x:v>
      </x:c>
      <x:c r="O219" s="142" t="n">
        <x:v>0.27587563951200317</x:v>
      </x:c>
      <x:c r="P219" t="str">
        <x:v>Existing</x:v>
      </x:c>
      <x:c r="Q219" t="str">
        <x:v>Online</x:v>
      </x:c>
      <x:c r="R219" s="140" t="n">
        <x:v>158400</x:v>
      </x:c>
      <x:c r="S219" s="142" t="n">
        <x:v>0.9625</x:v>
      </x:c>
      <x:c r="T219" s="142" t="n">
        <x:v>0.19382322299355842</x:v>
      </x:c>
      <x:c r="U219" t="str">
        <x:v>Completed</x:v>
      </x:c>
      <x:c r="V219" s="142" t="n">
        <x:v>0</x:v>
      </x:c>
      <x:c r="W219" t="n">
        <x:v>3.5</x:v>
      </x:c>
    </x:row>
    <x:row r="220">
      <x:c r="A220" t="str">
        <x:v>ORD-10219</x:v>
      </x:c>
      <x:c r="B220" s="138" t="n">
        <x:v>45761</x:v>
      </x:c>
      <x:c r="C220" t="str">
        <x:v>Apr</x:v>
      </x:c>
      <x:c r="D220" t="str">
        <x:v>Q2</x:v>
      </x:c>
      <x:c r="E220" t="str">
        <x:v>East</x:v>
      </x:c>
      <x:c r="F220" t="str">
        <x:v>Kolkata</x:v>
      </x:c>
      <x:c r="G220" t="str">
        <x:v>Aarav Sen</x:v>
      </x:c>
      <x:c r="H220" t="str">
        <x:v>Accessories</x:v>
      </x:c>
      <x:c r="I220" t="str">
        <x:v>Headphones</x:v>
      </x:c>
      <x:c r="J220" t="n">
        <x:v>2</x:v>
      </x:c>
      <x:c r="K220" s="140" t="n">
        <x:v>5440</x:v>
      </x:c>
      <x:c r="L220" s="140" t="n">
        <x:v>10880</x:v>
      </x:c>
      <x:c r="M220" s="140" t="n">
        <x:v>5840</x:v>
      </x:c>
      <x:c r="N220" s="140" t="n">
        <x:v>5040</x:v>
      </x:c>
      <x:c r="O220" s="142" t="n">
        <x:v>0.4632352941176471</x:v>
      </x:c>
      <x:c r="P220" t="str">
        <x:v>New</x:v>
      </x:c>
      <x:c r="Q220" t="str">
        <x:v>Online</x:v>
      </x:c>
      <x:c r="R220" s="140" t="n">
        <x:v>10500</x:v>
      </x:c>
      <x:c r="S220" s="142" t="n">
        <x:v>1.036190476190476</x:v>
      </x:c>
      <x:c r="T220" s="142" t="n">
        <x:v>-0.0030776707191991354</x:v>
      </x:c>
      <x:c r="U220" t="str">
        <x:v>Cancelled</x:v>
      </x:c>
      <x:c r="V220" s="142" t="n">
        <x:v>0.08</x:v>
      </x:c>
      <x:c r="W220" t="n">
        <x:v>4.5</x:v>
      </x:c>
    </x:row>
    <x:row r="221">
      <x:c r="A221" t="str">
        <x:v>ORD-10220</x:v>
      </x:c>
      <x:c r="B221" s="138" t="n">
        <x:v>45798</x:v>
      </x:c>
      <x:c r="C221" t="str">
        <x:v>May</x:v>
      </x:c>
      <x:c r="D221" t="str">
        <x:v>Q2</x:v>
      </x:c>
      <x:c r="E221" t="str">
        <x:v>South</x:v>
      </x:c>
      <x:c r="F221" t="str">
        <x:v>Bengaluru</x:v>
      </x:c>
      <x:c r="G221" t="str">
        <x:v>Ananya Iyer</x:v>
      </x:c>
      <x:c r="H221" t="str">
        <x:v>Office</x:v>
      </x:c>
      <x:c r="I221" t="str">
        <x:v>Standing Desk</x:v>
      </x:c>
      <x:c r="J221" t="n">
        <x:v>1</x:v>
      </x:c>
      <x:c r="K221" s="140" t="n">
        <x:v>19620</x:v>
      </x:c>
      <x:c r="L221" s="140" t="n">
        <x:v>19620</x:v>
      </x:c>
      <x:c r="M221" s="140" t="n">
        <x:v>13900</x:v>
      </x:c>
      <x:c r="N221" s="140" t="n">
        <x:v>5720</x:v>
      </x:c>
      <x:c r="O221" s="142" t="n">
        <x:v>0.291539245667686</x:v>
      </x:c>
      <x:c r="P221" t="str">
        <x:v>New</x:v>
      </x:c>
      <x:c r="Q221" t="str">
        <x:v>Online</x:v>
      </x:c>
      <x:c r="R221" s="140" t="n">
        <x:v>21400</x:v>
      </x:c>
      <x:c r="S221" s="142" t="n">
        <x:v>0.9168224299065421</x:v>
      </x:c>
      <x:c r="T221" s="142" t="n">
        <x:v>-0.04402939492876516</x:v>
      </x:c>
      <x:c r="U221" t="str">
        <x:v>Completed</x:v>
      </x:c>
      <x:c r="V221" s="142" t="n">
        <x:v>0.08</x:v>
      </x:c>
      <x:c r="W221" t="n">
        <x:v>4.8</x:v>
      </x:c>
    </x:row>
    <x:row r="222">
      <x:c r="A222" t="str">
        <x:v>ORD-10221</x:v>
      </x:c>
      <x:c r="B222" s="138" t="n">
        <x:v>45886</x:v>
      </x:c>
      <x:c r="C222" t="str">
        <x:v>Aug</x:v>
      </x:c>
      <x:c r="D222" t="str">
        <x:v>Q3</x:v>
      </x:c>
      <x:c r="E222" t="str">
        <x:v>North</x:v>
      </x:c>
      <x:c r="F222" t="str">
        <x:v>Lucknow</x:v>
      </x:c>
      <x:c r="G222" t="str">
        <x:v>Neha Verma</x:v>
      </x:c>
      <x:c r="H222" t="str">
        <x:v>Electronics</x:v>
      </x:c>
      <x:c r="I222" t="str">
        <x:v>Laptop Pro</x:v>
      </x:c>
      <x:c r="J222" t="n">
        <x:v>7</x:v>
      </x:c>
      <x:c r="K222" s="140" t="n">
        <x:v>70270</x:v>
      </x:c>
      <x:c r="L222" s="140" t="n">
        <x:v>491890</x:v>
      </x:c>
      <x:c r="M222" s="140" t="n">
        <x:v>367500</x:v>
      </x:c>
      <x:c r="N222" s="140" t="n">
        <x:v>124390</x:v>
      </x:c>
      <x:c r="O222" s="142" t="n">
        <x:v>0.2528817418528533</x:v>
      </x:c>
      <x:c r="P222" t="str">
        <x:v>New</x:v>
      </x:c>
      <x:c r="Q222" t="str">
        <x:v>Offline</x:v>
      </x:c>
      <x:c r="R222" s="140" t="n">
        <x:v>575500</x:v>
      </x:c>
      <x:c r="S222" s="142" t="n">
        <x:v>0.8547176368375325</x:v>
      </x:c>
      <x:c r="T222" s="142" t="n">
        <x:v>0.1553114497303303</x:v>
      </x:c>
      <x:c r="U222" t="str">
        <x:v>Pending</x:v>
      </x:c>
      <x:c r="V222" s="142" t="n">
        <x:v>0.05</x:v>
      </x:c>
      <x:c r="W222" t="n">
        <x:v>3.6</x:v>
      </x:c>
    </x:row>
    <x:row r="223">
      <x:c r="A223" t="str">
        <x:v>ORD-10222</x:v>
      </x:c>
      <x:c r="B223" s="138" t="n">
        <x:v>45820</x:v>
      </x:c>
      <x:c r="C223" t="str">
        <x:v>Jun</x:v>
      </x:c>
      <x:c r="D223" t="str">
        <x:v>Q2</x:v>
      </x:c>
      <x:c r="E223" t="str">
        <x:v>East</x:v>
      </x:c>
      <x:c r="F223" t="str">
        <x:v>Kolkata</x:v>
      </x:c>
      <x:c r="G223" t="str">
        <x:v>Riya Das</x:v>
      </x:c>
      <x:c r="H223" t="str">
        <x:v>Accessories</x:v>
      </x:c>
      <x:c r="I223" t="str">
        <x:v>Headphones</x:v>
      </x:c>
      <x:c r="J223" t="n">
        <x:v>1</x:v>
      </x:c>
      <x:c r="K223" s="140" t="n">
        <x:v>5860</x:v>
      </x:c>
      <x:c r="L223" s="140" t="n">
        <x:v>5860</x:v>
      </x:c>
      <x:c r="M223" s="140" t="n">
        <x:v>2920</x:v>
      </x:c>
      <x:c r="N223" s="140" t="n">
        <x:v>2940</x:v>
      </x:c>
      <x:c r="O223" s="142" t="n">
        <x:v>0.5017064846416383</x:v>
      </x:c>
      <x:c r="P223" t="str">
        <x:v>New</x:v>
      </x:c>
      <x:c r="Q223" t="str">
        <x:v>Online</x:v>
      </x:c>
      <x:c r="R223" s="140" t="n">
        <x:v>6000</x:v>
      </x:c>
      <x:c r="S223" s="142" t="n">
        <x:v>0.9766666666666667</x:v>
      </x:c>
      <x:c r="T223" s="142" t="n">
        <x:v>-0.048795741047381075</x:v>
      </x:c>
      <x:c r="U223" t="str">
        <x:v>Completed</x:v>
      </x:c>
      <x:c r="V223" s="142" t="n">
        <x:v>0.03</x:v>
      </x:c>
      <x:c r="W223" t="n">
        <x:v>4.7</x:v>
      </x:c>
    </x:row>
    <x:row r="224">
      <x:c r="A224" t="str">
        <x:v>ORD-10223</x:v>
      </x:c>
      <x:c r="B224" s="138" t="n">
        <x:v>45985</x:v>
      </x:c>
      <x:c r="C224" t="str">
        <x:v>Nov</x:v>
      </x:c>
      <x:c r="D224" t="str">
        <x:v>Q4</x:v>
      </x:c>
      <x:c r="E224" t="str">
        <x:v>South</x:v>
      </x:c>
      <x:c r="F224" t="str">
        <x:v>Hyderabad</x:v>
      </x:c>
      <x:c r="G224" t="str">
        <x:v>Vikram Rao</x:v>
      </x:c>
      <x:c r="H224" t="str">
        <x:v>Home</x:v>
      </x:c>
      <x:c r="I224" t="str">
        <x:v>Vacuum Cleaner</x:v>
      </x:c>
      <x:c r="J224" t="n">
        <x:v>8</x:v>
      </x:c>
      <x:c r="K224" s="140" t="n">
        <x:v>10720</x:v>
      </x:c>
      <x:c r="L224" s="140" t="n">
        <x:v>85760</x:v>
      </x:c>
      <x:c r="M224" s="140" t="n">
        <x:v>56800</x:v>
      </x:c>
      <x:c r="N224" s="140" t="n">
        <x:v>28960</x:v>
      </x:c>
      <x:c r="O224" s="142" t="n">
        <x:v>0.3376865671641791</x:v>
      </x:c>
      <x:c r="P224" t="str">
        <x:v>Existing</x:v>
      </x:c>
      <x:c r="Q224" t="str">
        <x:v>Offline</x:v>
      </x:c>
      <x:c r="R224" s="140" t="n">
        <x:v>80200</x:v>
      </x:c>
      <x:c r="S224" s="142" t="n">
        <x:v>1.0693266832917705</x:v>
      </x:c>
      <x:c r="T224" s="142" t="n">
        <x:v>0.005373735382909181</x:v>
      </x:c>
      <x:c r="U224" t="str">
        <x:v>Completed</x:v>
      </x:c>
      <x:c r="V224" s="142" t="n">
        <x:v>0.05</x:v>
      </x:c>
      <x:c r="W224" t="n">
        <x:v>4.3</x:v>
      </x:c>
    </x:row>
    <x:row r="225">
      <x:c r="A225" t="str">
        <x:v>ORD-10224</x:v>
      </x:c>
      <x:c r="B225" s="138" t="n">
        <x:v>45727</x:v>
      </x:c>
      <x:c r="C225" t="str">
        <x:v>Mar</x:v>
      </x:c>
      <x:c r="D225" t="str">
        <x:v>Q1</x:v>
      </x:c>
      <x:c r="E225" t="str">
        <x:v>South</x:v>
      </x:c>
      <x:c r="F225" t="str">
        <x:v>Hyderabad</x:v>
      </x:c>
      <x:c r="G225" t="str">
        <x:v>Ananya Iyer</x:v>
      </x:c>
      <x:c r="H225" t="str">
        <x:v>Office</x:v>
      </x:c>
      <x:c r="I225" t="str">
        <x:v>Standing Desk</x:v>
      </x:c>
      <x:c r="J225" t="n">
        <x:v>13</x:v>
      </x:c>
      <x:c r="K225" s="140" t="n">
        <x:v>21440</x:v>
      </x:c>
      <x:c r="L225" s="140" t="n">
        <x:v>278720</x:v>
      </x:c>
      <x:c r="M225" s="140" t="n">
        <x:v>180700</x:v>
      </x:c>
      <x:c r="N225" s="140" t="n">
        <x:v>98020</x:v>
      </x:c>
      <x:c r="O225" s="142" t="n">
        <x:v>0.3516791044776119</x:v>
      </x:c>
      <x:c r="P225" t="str">
        <x:v>Existing</x:v>
      </x:c>
      <x:c r="Q225" t="str">
        <x:v>Online</x:v>
      </x:c>
      <x:c r="R225" s="140" t="n">
        <x:v>327000</x:v>
      </x:c>
      <x:c r="S225" s="142" t="n">
        <x:v>0.8523547400611621</x:v>
      </x:c>
      <x:c r="T225" s="142" t="n">
        <x:v>0.1273196939080838</x:v>
      </x:c>
      <x:c r="U225" t="str">
        <x:v>Pending</x:v>
      </x:c>
      <x:c r="V225" s="142" t="n">
        <x:v>0</x:v>
      </x:c>
      <x:c r="W225" t="n">
        <x:v>4.9</x:v>
      </x:c>
    </x:row>
    <x:row r="226">
      <x:c r="A226" t="str">
        <x:v>ORD-10225</x:v>
      </x:c>
      <x:c r="B226" s="138" t="n">
        <x:v>45993</x:v>
      </x:c>
      <x:c r="C226" t="str">
        <x:v>Dec</x:v>
      </x:c>
      <x:c r="D226" t="str">
        <x:v>Q4</x:v>
      </x:c>
      <x:c r="E226" t="str">
        <x:v>North</x:v>
      </x:c>
      <x:c r="F226" t="str">
        <x:v>Lucknow</x:v>
      </x:c>
      <x:c r="G226" t="str">
        <x:v>Neha Verma</x:v>
      </x:c>
      <x:c r="H226" t="str">
        <x:v>Accessories</x:v>
      </x:c>
      <x:c r="I226" t="str">
        <x:v>Keyboard</x:v>
      </x:c>
      <x:c r="J226" t="n">
        <x:v>7</x:v>
      </x:c>
      <x:c r="K226" s="140" t="n">
        <x:v>3870</x:v>
      </x:c>
      <x:c r="L226" s="140" t="n">
        <x:v>27090</x:v>
      </x:c>
      <x:c r="M226" s="140" t="n">
        <x:v>12320</x:v>
      </x:c>
      <x:c r="N226" s="140" t="n">
        <x:v>14770</x:v>
      </x:c>
      <x:c r="O226" s="142" t="n">
        <x:v>0.5452196382428941</x:v>
      </x:c>
      <x:c r="P226" t="str">
        <x:v>Existing</x:v>
      </x:c>
      <x:c r="Q226" t="str">
        <x:v>Offline</x:v>
      </x:c>
      <x:c r="R226" s="140" t="n">
        <x:v>28800</x:v>
      </x:c>
      <x:c r="S226" s="142" t="n">
        <x:v>0.940625</x:v>
      </x:c>
      <x:c r="T226" s="142" t="n">
        <x:v>0.04131747527278909</x:v>
      </x:c>
      <x:c r="U226" t="str">
        <x:v>Completed</x:v>
      </x:c>
      <x:c r="V226" s="142" t="n">
        <x:v>0</x:v>
      </x:c>
      <x:c r="W226" t="n">
        <x:v>4.9</x:v>
      </x:c>
    </x:row>
    <x:row r="227">
      <x:c r="A227" t="str">
        <x:v>ORD-10226</x:v>
      </x:c>
      <x:c r="B227" s="138" t="n">
        <x:v>45999</x:v>
      </x:c>
      <x:c r="C227" t="str">
        <x:v>Dec</x:v>
      </x:c>
      <x:c r="D227" t="str">
        <x:v>Q4</x:v>
      </x:c>
      <x:c r="E227" t="str">
        <x:v>West</x:v>
      </x:c>
      <x:c r="F227" t="str">
        <x:v>Pune</x:v>
      </x:c>
      <x:c r="G227" t="str">
        <x:v>Meera Patel</x:v>
      </x:c>
      <x:c r="H227" t="str">
        <x:v>Office</x:v>
      </x:c>
      <x:c r="I227" t="str">
        <x:v>Standing Desk</x:v>
      </x:c>
      <x:c r="J227" t="n">
        <x:v>3</x:v>
      </x:c>
      <x:c r="K227" s="140" t="n">
        <x:v>19460</x:v>
      </x:c>
      <x:c r="L227" s="140" t="n">
        <x:v>58380</x:v>
      </x:c>
      <x:c r="M227" s="140" t="n">
        <x:v>41700</x:v>
      </x:c>
      <x:c r="N227" s="140" t="n">
        <x:v>16680</x:v>
      </x:c>
      <x:c r="O227" s="142" t="n">
        <x:v>0.2857142857142857</x:v>
      </x:c>
      <x:c r="P227" t="str">
        <x:v>New</x:v>
      </x:c>
      <x:c r="Q227" t="str">
        <x:v>Offline</x:v>
      </x:c>
      <x:c r="R227" s="140" t="n">
        <x:v>60600</x:v>
      </x:c>
      <x:c r="S227" s="142" t="n">
        <x:v>0.9633663366336633</x:v>
      </x:c>
      <x:c r="T227" s="142" t="n">
        <x:v>0.11413358463699218</x:v>
      </x:c>
      <x:c r="U227" t="str">
        <x:v>Completed</x:v>
      </x:c>
      <x:c r="V227" s="142" t="n">
        <x:v>0.08</x:v>
      </x:c>
      <x:c r="W227" t="n">
        <x:v>3.5</x:v>
      </x:c>
    </x:row>
    <x:row r="228">
      <x:c r="A228" t="str">
        <x:v>ORD-10227</x:v>
      </x:c>
      <x:c r="B228" s="138" t="n">
        <x:v>45931</x:v>
      </x:c>
      <x:c r="C228" t="str">
        <x:v>Oct</x:v>
      </x:c>
      <x:c r="D228" t="str">
        <x:v>Q4</x:v>
      </x:c>
      <x:c r="E228" t="str">
        <x:v>West</x:v>
      </x:c>
      <x:c r="F228" t="str">
        <x:v>Ahmedabad</x:v>
      </x:c>
      <x:c r="G228" t="str">
        <x:v>Kabir Shah</x:v>
      </x:c>
      <x:c r="H228" t="str">
        <x:v>Electronics</x:v>
      </x:c>
      <x:c r="I228" t="str">
        <x:v>Tablet Plus</x:v>
      </x:c>
      <x:c r="J228" t="n">
        <x:v>6</x:v>
      </x:c>
      <x:c r="K228" s="140" t="n">
        <x:v>26900</x:v>
      </x:c>
      <x:c r="L228" s="140" t="n">
        <x:v>161400</x:v>
      </x:c>
      <x:c r="M228" s="140" t="n">
        <x:v>110400</x:v>
      </x:c>
      <x:c r="N228" s="140" t="n">
        <x:v>51000</x:v>
      </x:c>
      <x:c r="O228" s="142" t="n">
        <x:v>0.3159851301115242</x:v>
      </x:c>
      <x:c r="P228" t="str">
        <x:v>Existing</x:v>
      </x:c>
      <x:c r="Q228" t="str">
        <x:v>Offline</x:v>
      </x:c>
      <x:c r="R228" s="140" t="n">
        <x:v>149900</x:v>
      </x:c>
      <x:c r="S228" s="142" t="n">
        <x:v>1.076717811874583</x:v>
      </x:c>
      <x:c r="T228" s="142" t="n">
        <x:v>0.10286101675691327</x:v>
      </x:c>
      <x:c r="U228" t="str">
        <x:v>Completed</x:v>
      </x:c>
      <x:c r="V228" s="142" t="n">
        <x:v>0</x:v>
      </x:c>
      <x:c r="W228" t="n">
        <x:v>3.9</x:v>
      </x:c>
    </x:row>
    <x:row r="229">
      <x:c r="A229" t="str">
        <x:v>ORD-10228</x:v>
      </x:c>
      <x:c r="B229" s="138" t="n">
        <x:v>45904</x:v>
      </x:c>
      <x:c r="C229" t="str">
        <x:v>Sep</x:v>
      </x:c>
      <x:c r="D229" t="str">
        <x:v>Q3</x:v>
      </x:c>
      <x:c r="E229" t="str">
        <x:v>West</x:v>
      </x:c>
      <x:c r="F229" t="str">
        <x:v>Ahmedabad</x:v>
      </x:c>
      <x:c r="G229" t="str">
        <x:v>Meera Patel</x:v>
      </x:c>
      <x:c r="H229" t="str">
        <x:v>Home</x:v>
      </x:c>
      <x:c r="I229" t="str">
        <x:v>Microwave</x:v>
      </x:c>
      <x:c r="J229" t="n">
        <x:v>8</x:v>
      </x:c>
      <x:c r="K229" s="140" t="n">
        <x:v>12660</x:v>
      </x:c>
      <x:c r="L229" s="140" t="n">
        <x:v>101280</x:v>
      </x:c>
      <x:c r="M229" s="140" t="n">
        <x:v>66000</x:v>
      </x:c>
      <x:c r="N229" s="140" t="n">
        <x:v>35280</x:v>
      </x:c>
      <x:c r="O229" s="142" t="n">
        <x:v>0.34834123222748814</x:v>
      </x:c>
      <x:c r="P229" t="str">
        <x:v>Existing</x:v>
      </x:c>
      <x:c r="Q229" t="str">
        <x:v>Online</x:v>
      </x:c>
      <x:c r="R229" s="140" t="n">
        <x:v>113400</x:v>
      </x:c>
      <x:c r="S229" s="142" t="n">
        <x:v>0.8931216931216931</x:v>
      </x:c>
      <x:c r="T229" s="142" t="n">
        <x:v>0.05796024040860155</x:v>
      </x:c>
      <x:c r="U229" t="str">
        <x:v>Completed</x:v>
      </x:c>
      <x:c r="V229" s="142" t="n">
        <x:v>0.08</x:v>
      </x:c>
      <x:c r="W229" t="n">
        <x:v>3.6</x:v>
      </x:c>
    </x:row>
    <x:row r="230">
      <x:c r="A230" t="str">
        <x:v>ORD-10229</x:v>
      </x:c>
      <x:c r="B230" s="138" t="n">
        <x:v>45784</x:v>
      </x:c>
      <x:c r="C230" t="str">
        <x:v>May</x:v>
      </x:c>
      <x:c r="D230" t="str">
        <x:v>Q2</x:v>
      </x:c>
      <x:c r="E230" t="str">
        <x:v>North</x:v>
      </x:c>
      <x:c r="F230" t="str">
        <x:v>Lucknow</x:v>
      </x:c>
      <x:c r="G230" t="str">
        <x:v>Neha Verma</x:v>
      </x:c>
      <x:c r="H230" t="str">
        <x:v>Accessories</x:v>
      </x:c>
      <x:c r="I230" t="str">
        <x:v>Keyboard</x:v>
      </x:c>
      <x:c r="J230" t="n">
        <x:v>5</x:v>
      </x:c>
      <x:c r="K230" s="140" t="n">
        <x:v>3880</x:v>
      </x:c>
      <x:c r="L230" s="140" t="n">
        <x:v>19400</x:v>
      </x:c>
      <x:c r="M230" s="140" t="n">
        <x:v>8800</x:v>
      </x:c>
      <x:c r="N230" s="140" t="n">
        <x:v>10600</x:v>
      </x:c>
      <x:c r="O230" s="142" t="n">
        <x:v>0.5463917525773195</x:v>
      </x:c>
      <x:c r="P230" t="str">
        <x:v>New</x:v>
      </x:c>
      <x:c r="Q230" t="str">
        <x:v>Offline</x:v>
      </x:c>
      <x:c r="R230" s="140" t="n">
        <x:v>20200</x:v>
      </x:c>
      <x:c r="S230" s="142" t="n">
        <x:v>0.9603960396039604</x:v>
      </x:c>
      <x:c r="T230" s="142" t="n">
        <x:v>0.018381229321173975</x:v>
      </x:c>
      <x:c r="U230" t="str">
        <x:v>Completed</x:v>
      </x:c>
      <x:c r="V230" s="142" t="n">
        <x:v>0.05</x:v>
      </x:c>
      <x:c r="W230" t="n">
        <x:v>4.7</x:v>
      </x:c>
    </x:row>
    <x:row r="231">
      <x:c r="A231" t="str">
        <x:v>ORD-10230</x:v>
      </x:c>
      <x:c r="B231" s="138" t="n">
        <x:v>45719</x:v>
      </x:c>
      <x:c r="C231" t="str">
        <x:v>Mar</x:v>
      </x:c>
      <x:c r="D231" t="str">
        <x:v>Q1</x:v>
      </x:c>
      <x:c r="E231" t="str">
        <x:v>East</x:v>
      </x:c>
      <x:c r="F231" t="str">
        <x:v>Bhubaneswar</x:v>
      </x:c>
      <x:c r="G231" t="str">
        <x:v>Riya Das</x:v>
      </x:c>
      <x:c r="H231" t="str">
        <x:v>Accessories</x:v>
      </x:c>
      <x:c r="I231" t="str">
        <x:v>Headphones</x:v>
      </x:c>
      <x:c r="J231" t="n">
        <x:v>14</x:v>
      </x:c>
      <x:c r="K231" s="140" t="n">
        <x:v>5430</x:v>
      </x:c>
      <x:c r="L231" s="140" t="n">
        <x:v>76020</x:v>
      </x:c>
      <x:c r="M231" s="140" t="n">
        <x:v>40880</x:v>
      </x:c>
      <x:c r="N231" s="140" t="n">
        <x:v>35140</x:v>
      </x:c>
      <x:c r="O231" s="142" t="n">
        <x:v>0.4622467771639042</x:v>
      </x:c>
      <x:c r="P231" t="str">
        <x:v>Existing</x:v>
      </x:c>
      <x:c r="Q231" t="str">
        <x:v>Online</x:v>
      </x:c>
      <x:c r="R231" s="140" t="n">
        <x:v>69600</x:v>
      </x:c>
      <x:c r="S231" s="142" t="n">
        <x:v>1.092241379310345</x:v>
      </x:c>
      <x:c r="T231" s="142" t="n">
        <x:v>0.08870211473195934</x:v>
      </x:c>
      <x:c r="U231" t="str">
        <x:v>Completed</x:v>
      </x:c>
      <x:c r="V231" s="142" t="n">
        <x:v>0.05</x:v>
      </x:c>
      <x:c r="W231" t="n">
        <x:v>4.6</x:v>
      </x:c>
    </x:row>
    <x:row r="232">
      <x:c r="A232" t="str">
        <x:v>ORD-10231</x:v>
      </x:c>
      <x:c r="B232" s="138" t="n">
        <x:v>45875</x:v>
      </x:c>
      <x:c r="C232" t="str">
        <x:v>Aug</x:v>
      </x:c>
      <x:c r="D232" t="str">
        <x:v>Q3</x:v>
      </x:c>
      <x:c r="E232" t="str">
        <x:v>South</x:v>
      </x:c>
      <x:c r="F232" t="str">
        <x:v>Bengaluru</x:v>
      </x:c>
      <x:c r="G232" t="str">
        <x:v>Ananya Iyer</x:v>
      </x:c>
      <x:c r="H232" t="str">
        <x:v>Electronics</x:v>
      </x:c>
      <x:c r="I232" t="str">
        <x:v>Laptop Pro</x:v>
      </x:c>
      <x:c r="J232" t="n">
        <x:v>6</x:v>
      </x:c>
      <x:c r="K232" s="140" t="n">
        <x:v>64880</x:v>
      </x:c>
      <x:c r="L232" s="140" t="n">
        <x:v>389280</x:v>
      </x:c>
      <x:c r="M232" s="140" t="n">
        <x:v>315000</x:v>
      </x:c>
      <x:c r="N232" s="140" t="n">
        <x:v>74280</x:v>
      </x:c>
      <x:c r="O232" s="142" t="n">
        <x:v>0.19081381011097412</x:v>
      </x:c>
      <x:c r="P232" t="str">
        <x:v>Existing</x:v>
      </x:c>
      <x:c r="Q232" t="str">
        <x:v>Offline</x:v>
      </x:c>
      <x:c r="R232" s="140" t="n">
        <x:v>451700</x:v>
      </x:c>
      <x:c r="S232" s="142" t="n">
        <x:v>0.8618109364622537</x:v>
      </x:c>
      <x:c r="T232" s="142" t="n">
        <x:v>0.12518928572215932</x:v>
      </x:c>
      <x:c r="U232" t="str">
        <x:v>Completed</x:v>
      </x:c>
      <x:c r="V232" s="142" t="n">
        <x:v>0.08</x:v>
      </x:c>
      <x:c r="W232" t="n">
        <x:v>4.3</x:v>
      </x:c>
    </x:row>
    <x:row r="233">
      <x:c r="A233" t="str">
        <x:v>ORD-10232</x:v>
      </x:c>
      <x:c r="B233" s="138" t="n">
        <x:v>45765</x:v>
      </x:c>
      <x:c r="C233" t="str">
        <x:v>Apr</x:v>
      </x:c>
      <x:c r="D233" t="str">
        <x:v>Q2</x:v>
      </x:c>
      <x:c r="E233" t="str">
        <x:v>East</x:v>
      </x:c>
      <x:c r="F233" t="str">
        <x:v>Patna</x:v>
      </x:c>
      <x:c r="G233" t="str">
        <x:v>Riya Das</x:v>
      </x:c>
      <x:c r="H233" t="str">
        <x:v>Office</x:v>
      </x:c>
      <x:c r="I233" t="str">
        <x:v>Ergonomic Chair</x:v>
      </x:c>
      <x:c r="J233" t="n">
        <x:v>3</x:v>
      </x:c>
      <x:c r="K233" s="140" t="n">
        <x:v>12490</x:v>
      </x:c>
      <x:c r="L233" s="140" t="n">
        <x:v>37470</x:v>
      </x:c>
      <x:c r="M233" s="140" t="n">
        <x:v>22800</x:v>
      </x:c>
      <x:c r="N233" s="140" t="n">
        <x:v>14670</x:v>
      </x:c>
      <x:c r="O233" s="142" t="n">
        <x:v>0.3915132105684548</x:v>
      </x:c>
      <x:c r="P233" t="str">
        <x:v>New</x:v>
      </x:c>
      <x:c r="Q233" t="str">
        <x:v>Online</x:v>
      </x:c>
      <x:c r="R233" s="140" t="n">
        <x:v>34300</x:v>
      </x:c>
      <x:c r="S233" s="142" t="n">
        <x:v>1.0924198250728863</x:v>
      </x:c>
      <x:c r="T233" s="142" t="n">
        <x:v>0.11070391482442006</x:v>
      </x:c>
      <x:c r="U233" t="str">
        <x:v>Completed</x:v>
      </x:c>
      <x:c r="V233" s="142" t="n">
        <x:v>0.03</x:v>
      </x:c>
      <x:c r="W233" t="n">
        <x:v>4.1</x:v>
      </x:c>
    </x:row>
    <x:row r="234">
      <x:c r="A234" t="str">
        <x:v>ORD-10233</x:v>
      </x:c>
      <x:c r="B234" s="138" t="n">
        <x:v>45880</x:v>
      </x:c>
      <x:c r="C234" t="str">
        <x:v>Aug</x:v>
      </x:c>
      <x:c r="D234" t="str">
        <x:v>Q3</x:v>
      </x:c>
      <x:c r="E234" t="str">
        <x:v>North</x:v>
      </x:c>
      <x:c r="F234" t="str">
        <x:v>Lucknow</x:v>
      </x:c>
      <x:c r="G234" t="str">
        <x:v>Neha Verma</x:v>
      </x:c>
      <x:c r="H234" t="str">
        <x:v>Accessories</x:v>
      </x:c>
      <x:c r="I234" t="str">
        <x:v>Keyboard</x:v>
      </x:c>
      <x:c r="J234" t="n">
        <x:v>10</x:v>
      </x:c>
      <x:c r="K234" s="140" t="n">
        <x:v>3980</x:v>
      </x:c>
      <x:c r="L234" s="140" t="n">
        <x:v>39800</x:v>
      </x:c>
      <x:c r="M234" s="140" t="n">
        <x:v>17600</x:v>
      </x:c>
      <x:c r="N234" s="140" t="n">
        <x:v>22200</x:v>
      </x:c>
      <x:c r="O234" s="142" t="n">
        <x:v>0.5577889447236181</x:v>
      </x:c>
      <x:c r="P234" t="str">
        <x:v>New</x:v>
      </x:c>
      <x:c r="Q234" t="str">
        <x:v>Online</x:v>
      </x:c>
      <x:c r="R234" s="140" t="n">
        <x:v>40400</x:v>
      </x:c>
      <x:c r="S234" s="142" t="n">
        <x:v>0.9851485148514851</x:v>
      </x:c>
      <x:c r="T234" s="142" t="n">
        <x:v>0.09981093666915412</x:v>
      </x:c>
      <x:c r="U234" t="str">
        <x:v>Completed</x:v>
      </x:c>
      <x:c r="V234" s="142" t="n">
        <x:v>0</x:v>
      </x:c>
      <x:c r="W234" t="n">
        <x:v>4.9</x:v>
      </x:c>
    </x:row>
    <x:row r="235">
      <x:c r="A235" t="str">
        <x:v>ORD-10234</x:v>
      </x:c>
      <x:c r="B235" s="138" t="n">
        <x:v>45805</x:v>
      </x:c>
      <x:c r="C235" t="str">
        <x:v>May</x:v>
      </x:c>
      <x:c r="D235" t="str">
        <x:v>Q2</x:v>
      </x:c>
      <x:c r="E235" t="str">
        <x:v>South</x:v>
      </x:c>
      <x:c r="F235" t="str">
        <x:v>Hyderabad</x:v>
      </x:c>
      <x:c r="G235" t="str">
        <x:v>Ananya Iyer</x:v>
      </x:c>
      <x:c r="H235" t="str">
        <x:v>Office</x:v>
      </x:c>
      <x:c r="I235" t="str">
        <x:v>Laser Printer</x:v>
      </x:c>
      <x:c r="J235" t="n">
        <x:v>12</x:v>
      </x:c>
      <x:c r="K235" s="140" t="n">
        <x:v>20140</x:v>
      </x:c>
      <x:c r="L235" s="140" t="n">
        <x:v>241680</x:v>
      </x:c>
      <x:c r="M235" s="140" t="n">
        <x:v>151200</x:v>
      </x:c>
      <x:c r="N235" s="140" t="n">
        <x:v>90480</x:v>
      </x:c>
      <x:c r="O235" s="142" t="n">
        <x:v>0.3743793445878848</x:v>
      </x:c>
      <x:c r="P235" t="str">
        <x:v>Existing</x:v>
      </x:c>
      <x:c r="Q235" t="str">
        <x:v>Online</x:v>
      </x:c>
      <x:c r="R235" s="140" t="n">
        <x:v>262000</x:v>
      </x:c>
      <x:c r="S235" s="142" t="n">
        <x:v>0.9224427480916031</x:v>
      </x:c>
      <x:c r="T235" s="142" t="n">
        <x:v>0.15119002310065172</x:v>
      </x:c>
      <x:c r="U235" t="str">
        <x:v>Completed</x:v>
      </x:c>
      <x:c r="V235" s="142" t="n">
        <x:v>0</x:v>
      </x:c>
      <x:c r="W235" t="n">
        <x:v>4.1</x:v>
      </x:c>
    </x:row>
    <x:row r="236">
      <x:c r="A236" t="str">
        <x:v>ORD-10235</x:v>
      </x:c>
      <x:c r="B236" s="138" t="n">
        <x:v>45960</x:v>
      </x:c>
      <x:c r="C236" t="str">
        <x:v>Oct</x:v>
      </x:c>
      <x:c r="D236" t="str">
        <x:v>Q4</x:v>
      </x:c>
      <x:c r="E236" t="str">
        <x:v>South</x:v>
      </x:c>
      <x:c r="F236" t="str">
        <x:v>Bengaluru</x:v>
      </x:c>
      <x:c r="G236" t="str">
        <x:v>Ananya Iyer</x:v>
      </x:c>
      <x:c r="H236" t="str">
        <x:v>Office</x:v>
      </x:c>
      <x:c r="I236" t="str">
        <x:v>Standing Desk</x:v>
      </x:c>
      <x:c r="J236" t="n">
        <x:v>6</x:v>
      </x:c>
      <x:c r="K236" s="140" t="n">
        <x:v>21700</x:v>
      </x:c>
      <x:c r="L236" s="140" t="n">
        <x:v>130200</x:v>
      </x:c>
      <x:c r="M236" s="140" t="n">
        <x:v>83400</x:v>
      </x:c>
      <x:c r="N236" s="140" t="n">
        <x:v>46800</x:v>
      </x:c>
      <x:c r="O236" s="142" t="n">
        <x:v>0.35944700460829493</x:v>
      </x:c>
      <x:c r="P236" t="str">
        <x:v>Existing</x:v>
      </x:c>
      <x:c r="Q236" t="str">
        <x:v>Offline</x:v>
      </x:c>
      <x:c r="R236" s="140" t="n">
        <x:v>117500</x:v>
      </x:c>
      <x:c r="S236" s="142" t="n">
        <x:v>1.1080851063829786</x:v>
      </x:c>
      <x:c r="T236" s="142" t="n">
        <x:v>0.05371092415009353</x:v>
      </x:c>
      <x:c r="U236" t="str">
        <x:v>Completed</x:v>
      </x:c>
      <x:c r="V236" s="142" t="n">
        <x:v>0</x:v>
      </x:c>
      <x:c r="W236" t="n">
        <x:v>3.5</x:v>
      </x:c>
    </x:row>
    <x:row r="237">
      <x:c r="A237" t="str">
        <x:v>ORD-10236</x:v>
      </x:c>
      <x:c r="B237" s="138" t="n">
        <x:v>45700</x:v>
      </x:c>
      <x:c r="C237" t="str">
        <x:v>Feb</x:v>
      </x:c>
      <x:c r="D237" t="str">
        <x:v>Q1</x:v>
      </x:c>
      <x:c r="E237" t="str">
        <x:v>North</x:v>
      </x:c>
      <x:c r="F237" t="str">
        <x:v>Lucknow</x:v>
      </x:c>
      <x:c r="G237" t="str">
        <x:v>Neha Verma</x:v>
      </x:c>
      <x:c r="H237" t="str">
        <x:v>Home</x:v>
      </x:c>
      <x:c r="I237" t="str">
        <x:v>Air Purifier</x:v>
      </x:c>
      <x:c r="J237" t="n">
        <x:v>11</x:v>
      </x:c>
      <x:c r="K237" s="140" t="n">
        <x:v>16550</x:v>
      </x:c>
      <x:c r="L237" s="140" t="n">
        <x:v>182050</x:v>
      </x:c>
      <x:c r="M237" s="140" t="n">
        <x:v>114400</x:v>
      </x:c>
      <x:c r="N237" s="140" t="n">
        <x:v>67650</x:v>
      </x:c>
      <x:c r="O237" s="142" t="n">
        <x:v>0.3716012084592145</x:v>
      </x:c>
      <x:c r="P237" t="str">
        <x:v>Existing</x:v>
      </x:c>
      <x:c r="Q237" t="str">
        <x:v>Online</x:v>
      </x:c>
      <x:c r="R237" s="140" t="n">
        <x:v>178400</x:v>
      </x:c>
      <x:c r="S237" s="142" t="n">
        <x:v>1.0204596412556053</x:v>
      </x:c>
      <x:c r="T237" s="142" t="n">
        <x:v>-0.012111889891569513</x:v>
      </x:c>
      <x:c r="U237" t="str">
        <x:v>Completed</x:v>
      </x:c>
      <x:c r="V237" s="142" t="n">
        <x:v>0</x:v>
      </x:c>
      <x:c r="W237" t="n">
        <x:v>4.9</x:v>
      </x:c>
    </x:row>
    <x:row r="238">
      <x:c r="A238" t="str">
        <x:v>ORD-10237</x:v>
      </x:c>
      <x:c r="B238" s="138" t="n">
        <x:v>45740</x:v>
      </x:c>
      <x:c r="C238" t="str">
        <x:v>Mar</x:v>
      </x:c>
      <x:c r="D238" t="str">
        <x:v>Q1</x:v>
      </x:c>
      <x:c r="E238" t="str">
        <x:v>South</x:v>
      </x:c>
      <x:c r="F238" t="str">
        <x:v>Hyderabad</x:v>
      </x:c>
      <x:c r="G238" t="str">
        <x:v>Vikram Rao</x:v>
      </x:c>
      <x:c r="H238" t="str">
        <x:v>Office</x:v>
      </x:c>
      <x:c r="I238" t="str">
        <x:v>Laser Printer</x:v>
      </x:c>
      <x:c r="J238" t="n">
        <x:v>2</x:v>
      </x:c>
      <x:c r="K238" s="140" t="n">
        <x:v>19530</x:v>
      </x:c>
      <x:c r="L238" s="140" t="n">
        <x:v>39060</x:v>
      </x:c>
      <x:c r="M238" s="140" t="n">
        <x:v>25200</x:v>
      </x:c>
      <x:c r="N238" s="140" t="n">
        <x:v>13860</x:v>
      </x:c>
      <x:c r="O238" s="142" t="n">
        <x:v>0.3548387096774194</x:v>
      </x:c>
      <x:c r="P238" t="str">
        <x:v>Existing</x:v>
      </x:c>
      <x:c r="Q238" t="str">
        <x:v>Offline</x:v>
      </x:c>
      <x:c r="R238" s="140" t="n">
        <x:v>37100</x:v>
      </x:c>
      <x:c r="S238" s="142" t="n">
        <x:v>1.0528301886792453</x:v>
      </x:c>
      <x:c r="T238" s="142" t="n">
        <x:v>0.13338495145310136</x:v>
      </x:c>
      <x:c r="U238" t="str">
        <x:v>Completed</x:v>
      </x:c>
      <x:c r="V238" s="142" t="n">
        <x:v>0</x:v>
      </x:c>
      <x:c r="W238" t="n">
        <x:v>3.8</x:v>
      </x:c>
    </x:row>
    <x:row r="239">
      <x:c r="A239" t="str">
        <x:v>ORD-10238</x:v>
      </x:c>
      <x:c r="B239" s="138" t="n">
        <x:v>45983</x:v>
      </x:c>
      <x:c r="C239" t="str">
        <x:v>Nov</x:v>
      </x:c>
      <x:c r="D239" t="str">
        <x:v>Q4</x:v>
      </x:c>
      <x:c r="E239" t="str">
        <x:v>West</x:v>
      </x:c>
      <x:c r="F239" t="str">
        <x:v>Ahmedabad</x:v>
      </x:c>
      <x:c r="G239" t="str">
        <x:v>Kabir Shah</x:v>
      </x:c>
      <x:c r="H239" t="str">
        <x:v>Home</x:v>
      </x:c>
      <x:c r="I239" t="str">
        <x:v>Microwave</x:v>
      </x:c>
      <x:c r="J239" t="n">
        <x:v>1</x:v>
      </x:c>
      <x:c r="K239" s="140" t="n">
        <x:v>13520</x:v>
      </x:c>
      <x:c r="L239" s="140" t="n">
        <x:v>13520</x:v>
      </x:c>
      <x:c r="M239" s="140" t="n">
        <x:v>8250</x:v>
      </x:c>
      <x:c r="N239" s="140" t="n">
        <x:v>5270</x:v>
      </x:c>
      <x:c r="O239" s="142" t="n">
        <x:v>0.38979289940828404</x:v>
      </x:c>
      <x:c r="P239" t="str">
        <x:v>Existing</x:v>
      </x:c>
      <x:c r="Q239" t="str">
        <x:v>Online</x:v>
      </x:c>
      <x:c r="R239" s="140" t="n">
        <x:v>14000</x:v>
      </x:c>
      <x:c r="S239" s="142" t="n">
        <x:v>0.9657142857142857</x:v>
      </x:c>
      <x:c r="T239" s="142" t="n">
        <x:v>-0.05553534030148871</x:v>
      </x:c>
      <x:c r="U239" t="str">
        <x:v>Completed</x:v>
      </x:c>
      <x:c r="V239" s="142" t="n">
        <x:v>0.03</x:v>
      </x:c>
      <x:c r="W239" t="n">
        <x:v>3.9</x:v>
      </x:c>
    </x:row>
    <x:row r="240">
      <x:c r="A240" t="str">
        <x:v>ORD-10239</x:v>
      </x:c>
      <x:c r="B240" s="138" t="n">
        <x:v>46001</x:v>
      </x:c>
      <x:c r="C240" t="str">
        <x:v>Dec</x:v>
      </x:c>
      <x:c r="D240" t="str">
        <x:v>Q4</x:v>
      </x:c>
      <x:c r="E240" t="str">
        <x:v>South</x:v>
      </x:c>
      <x:c r="F240" t="str">
        <x:v>Chennai</x:v>
      </x:c>
      <x:c r="G240" t="str">
        <x:v>Vikram Rao</x:v>
      </x:c>
      <x:c r="H240" t="str">
        <x:v>Accessories</x:v>
      </x:c>
      <x:c r="I240" t="str">
        <x:v>Keyboard</x:v>
      </x:c>
      <x:c r="J240" t="n">
        <x:v>2</x:v>
      </x:c>
      <x:c r="K240" s="140" t="n">
        <x:v>3840</x:v>
      </x:c>
      <x:c r="L240" s="140" t="n">
        <x:v>7680</x:v>
      </x:c>
      <x:c r="M240" s="140" t="n">
        <x:v>3520</x:v>
      </x:c>
      <x:c r="N240" s="140" t="n">
        <x:v>4160</x:v>
      </x:c>
      <x:c r="O240" s="142" t="n">
        <x:v>0.5416666666666666</x:v>
      </x:c>
      <x:c r="P240" t="str">
        <x:v>Existing</x:v>
      </x:c>
      <x:c r="Q240" t="str">
        <x:v>Offline</x:v>
      </x:c>
      <x:c r="R240" s="140" t="n">
        <x:v>8700</x:v>
      </x:c>
      <x:c r="S240" s="142" t="n">
        <x:v>0.8827586206896552</x:v>
      </x:c>
      <x:c r="T240" s="142" t="n">
        <x:v>0.10134235229970344</x:v>
      </x:c>
      <x:c r="U240" t="str">
        <x:v>Completed</x:v>
      </x:c>
      <x:c r="V240" s="142" t="n">
        <x:v>0</x:v>
      </x:c>
      <x:c r="W240" t="n">
        <x:v>4.8</x:v>
      </x:c>
    </x:row>
    <x:row r="241">
      <x:c r="A241" t="str">
        <x:v>ORD-10240</x:v>
      </x:c>
      <x:c r="B241" s="138" t="n">
        <x:v>45983</x:v>
      </x:c>
      <x:c r="C241" t="str">
        <x:v>Nov</x:v>
      </x:c>
      <x:c r="D241" t="str">
        <x:v>Q4</x:v>
      </x:c>
      <x:c r="E241" t="str">
        <x:v>South</x:v>
      </x:c>
      <x:c r="F241" t="str">
        <x:v>Hyderabad</x:v>
      </x:c>
      <x:c r="G241" t="str">
        <x:v>Vikram Rao</x:v>
      </x:c>
      <x:c r="H241" t="str">
        <x:v>Electronics</x:v>
      </x:c>
      <x:c r="I241" t="str">
        <x:v>Tablet Plus</x:v>
      </x:c>
      <x:c r="J241" t="n">
        <x:v>8</x:v>
      </x:c>
      <x:c r="K241" s="140" t="n">
        <x:v>25700</x:v>
      </x:c>
      <x:c r="L241" s="140" t="n">
        <x:v>205600</x:v>
      </x:c>
      <x:c r="M241" s="140" t="n">
        <x:v>147200</x:v>
      </x:c>
      <x:c r="N241" s="140" t="n">
        <x:v>58400</x:v>
      </x:c>
      <x:c r="O241" s="142" t="n">
        <x:v>0.2840466926070039</x:v>
      </x:c>
      <x:c r="P241" t="str">
        <x:v>Existing</x:v>
      </x:c>
      <x:c r="Q241" t="str">
        <x:v>Online</x:v>
      </x:c>
      <x:c r="R241" s="140" t="n">
        <x:v>216900</x:v>
      </x:c>
      <x:c r="S241" s="142" t="n">
        <x:v>0.9479022591055786</x:v>
      </x:c>
      <x:c r="T241" s="142" t="n">
        <x:v>-0.019983830979935176</x:v>
      </x:c>
      <x:c r="U241" t="str">
        <x:v>Completed</x:v>
      </x:c>
      <x:c r="V241" s="142" t="n">
        <x:v>0.03</x:v>
      </x:c>
      <x:c r="W241" t="n">
        <x:v>4.4</x:v>
      </x:c>
    </x:row>
    <x:row r="242">
      <x:c r="A242" t="str">
        <x:v>ORD-10241</x:v>
      </x:c>
      <x:c r="B242" s="138" t="n">
        <x:v>46006</x:v>
      </x:c>
      <x:c r="C242" t="str">
        <x:v>Dec</x:v>
      </x:c>
      <x:c r="D242" t="str">
        <x:v>Q4</x:v>
      </x:c>
      <x:c r="E242" t="str">
        <x:v>East</x:v>
      </x:c>
      <x:c r="F242" t="str">
        <x:v>Kolkata</x:v>
      </x:c>
      <x:c r="G242" t="str">
        <x:v>Aarav Sen</x:v>
      </x:c>
      <x:c r="H242" t="str">
        <x:v>Electronics</x:v>
      </x:c>
      <x:c r="I242" t="str">
        <x:v>Laptop Pro</x:v>
      </x:c>
      <x:c r="J242" t="n">
        <x:v>16</x:v>
      </x:c>
      <x:c r="K242" s="140" t="n">
        <x:v>64300</x:v>
      </x:c>
      <x:c r="L242" s="140" t="n">
        <x:v>1028800</x:v>
      </x:c>
      <x:c r="M242" s="140" t="n">
        <x:v>840000</x:v>
      </x:c>
      <x:c r="N242" s="140" t="n">
        <x:v>188800</x:v>
      </x:c>
      <x:c r="O242" s="142" t="n">
        <x:v>0.18351477449455678</x:v>
      </x:c>
      <x:c r="P242" t="str">
        <x:v>New</x:v>
      </x:c>
      <x:c r="Q242" t="str">
        <x:v>Offline</x:v>
      </x:c>
      <x:c r="R242" s="140" t="n">
        <x:v>1171700</x:v>
      </x:c>
      <x:c r="S242" s="142" t="n">
        <x:v>0.8780404540411368</x:v>
      </x:c>
      <x:c r="T242" s="142" t="n">
        <x:v>0.10155132734807153</x:v>
      </x:c>
      <x:c r="U242" t="str">
        <x:v>Pending</x:v>
      </x:c>
      <x:c r="V242" s="142" t="n">
        <x:v>0.08</x:v>
      </x:c>
      <x:c r="W242" t="n">
        <x:v>4</x:v>
      </x:c>
    </x:row>
    <x:row r="243">
      <x:c r="A243" t="str">
        <x:v>ORD-10242</x:v>
      </x:c>
      <x:c r="B243" s="138" t="n">
        <x:v>45800</x:v>
      </x:c>
      <x:c r="C243" t="str">
        <x:v>May</x:v>
      </x:c>
      <x:c r="D243" t="str">
        <x:v>Q2</x:v>
      </x:c>
      <x:c r="E243" t="str">
        <x:v>North</x:v>
      </x:c>
      <x:c r="F243" t="str">
        <x:v>Jaipur</x:v>
      </x:c>
      <x:c r="G243" t="str">
        <x:v>Arjun Malhotra</x:v>
      </x:c>
      <x:c r="H243" t="str">
        <x:v>Accessories</x:v>
      </x:c>
      <x:c r="I243" t="str">
        <x:v>Keyboard</x:v>
      </x:c>
      <x:c r="J243" t="n">
        <x:v>16</x:v>
      </x:c>
      <x:c r="K243" s="140" t="n">
        <x:v>3880</x:v>
      </x:c>
      <x:c r="L243" s="140" t="n">
        <x:v>62080</x:v>
      </x:c>
      <x:c r="M243" s="140" t="n">
        <x:v>28160</x:v>
      </x:c>
      <x:c r="N243" s="140" t="n">
        <x:v>33920</x:v>
      </x:c>
      <x:c r="O243" s="142" t="n">
        <x:v>0.5463917525773195</x:v>
      </x:c>
      <x:c r="P243" t="str">
        <x:v>Existing</x:v>
      </x:c>
      <x:c r="Q243" t="str">
        <x:v>Online</x:v>
      </x:c>
      <x:c r="R243" s="140" t="n">
        <x:v>65700</x:v>
      </x:c>
      <x:c r="S243" s="142" t="n">
        <x:v>0.9449010654490106</x:v>
      </x:c>
      <x:c r="T243" s="142" t="n">
        <x:v>0.029185329489433184</x:v>
      </x:c>
      <x:c r="U243" t="str">
        <x:v>Completed</x:v>
      </x:c>
      <x:c r="V243" s="142" t="n">
        <x:v>0.05</x:v>
      </x:c>
      <x:c r="W243" t="n">
        <x:v>4.6</x:v>
      </x:c>
    </x:row>
    <x:row r="244">
      <x:c r="A244" t="str">
        <x:v>ORD-10243</x:v>
      </x:c>
      <x:c r="B244" s="138" t="n">
        <x:v>45724</x:v>
      </x:c>
      <x:c r="C244" t="str">
        <x:v>Mar</x:v>
      </x:c>
      <x:c r="D244" t="str">
        <x:v>Q1</x:v>
      </x:c>
      <x:c r="E244" t="str">
        <x:v>North</x:v>
      </x:c>
      <x:c r="F244" t="str">
        <x:v>Lucknow</x:v>
      </x:c>
      <x:c r="G244" t="str">
        <x:v>Neha Verma</x:v>
      </x:c>
      <x:c r="H244" t="str">
        <x:v>Electronics</x:v>
      </x:c>
      <x:c r="I244" t="str">
        <x:v>Tablet Plus</x:v>
      </x:c>
      <x:c r="J244" t="n">
        <x:v>7</x:v>
      </x:c>
      <x:c r="K244" s="140" t="n">
        <x:v>25580</x:v>
      </x:c>
      <x:c r="L244" s="140" t="n">
        <x:v>179060</x:v>
      </x:c>
      <x:c r="M244" s="140" t="n">
        <x:v>128800</x:v>
      </x:c>
      <x:c r="N244" s="140" t="n">
        <x:v>50260</x:v>
      </x:c>
      <x:c r="O244" s="142" t="n">
        <x:v>0.28068803752931976</x:v>
      </x:c>
      <x:c r="P244" t="str">
        <x:v>Existing</x:v>
      </x:c>
      <x:c r="Q244" t="str">
        <x:v>Online</x:v>
      </x:c>
      <x:c r="R244" s="140" t="n">
        <x:v>189300</x:v>
      </x:c>
      <x:c r="S244" s="142" t="n">
        <x:v>0.945905969360803</x:v>
      </x:c>
      <x:c r="T244" s="142" t="n">
        <x:v>0.16476583225770886</x:v>
      </x:c>
      <x:c r="U244" t="str">
        <x:v>Completed</x:v>
      </x:c>
      <x:c r="V244" s="142" t="n">
        <x:v>0.03</x:v>
      </x:c>
      <x:c r="W244" t="n">
        <x:v>4.5</x:v>
      </x:c>
    </x:row>
    <x:row r="245">
      <x:c r="A245" t="str">
        <x:v>ORD-10244</x:v>
      </x:c>
      <x:c r="B245" s="138" t="n">
        <x:v>45892</x:v>
      </x:c>
      <x:c r="C245" t="str">
        <x:v>Aug</x:v>
      </x:c>
      <x:c r="D245" t="str">
        <x:v>Q3</x:v>
      </x:c>
      <x:c r="E245" t="str">
        <x:v>South</x:v>
      </x:c>
      <x:c r="F245" t="str">
        <x:v>Bengaluru</x:v>
      </x:c>
      <x:c r="G245" t="str">
        <x:v>Ananya Iyer</x:v>
      </x:c>
      <x:c r="H245" t="str">
        <x:v>Accessories</x:v>
      </x:c>
      <x:c r="I245" t="str">
        <x:v>Wireless Mouse</x:v>
      </x:c>
      <x:c r="J245" t="n">
        <x:v>14</x:v>
      </x:c>
      <x:c r="K245" s="140" t="n">
        <x:v>2020</x:v>
      </x:c>
      <x:c r="L245" s="140" t="n">
        <x:v>28280</x:v>
      </x:c>
      <x:c r="M245" s="140" t="n">
        <x:v>13020</x:v>
      </x:c>
      <x:c r="N245" s="140" t="n">
        <x:v>15260</x:v>
      </x:c>
      <x:c r="O245" s="142" t="n">
        <x:v>0.5396039603960396</x:v>
      </x:c>
      <x:c r="P245" t="str">
        <x:v>Existing</x:v>
      </x:c>
      <x:c r="Q245" t="str">
        <x:v>Online</x:v>
      </x:c>
      <x:c r="R245" s="140" t="n">
        <x:v>32600</x:v>
      </x:c>
      <x:c r="S245" s="142" t="n">
        <x:v>0.8674846625766871</x:v>
      </x:c>
      <x:c r="T245" s="142" t="n">
        <x:v>-0.05988978758413445</x:v>
      </x:c>
      <x:c r="U245" t="str">
        <x:v>Completed</x:v>
      </x:c>
      <x:c r="V245" s="142" t="n">
        <x:v>0.03</x:v>
      </x:c>
      <x:c r="W245" t="n">
        <x:v>4.2</x:v>
      </x:c>
    </x:row>
    <x:row r="246">
      <x:c r="A246" t="str">
        <x:v>ORD-10245</x:v>
      </x:c>
      <x:c r="B246" s="138" t="n">
        <x:v>45938</x:v>
      </x:c>
      <x:c r="C246" t="str">
        <x:v>Oct</x:v>
      </x:c>
      <x:c r="D246" t="str">
        <x:v>Q4</x:v>
      </x:c>
      <x:c r="E246" t="str">
        <x:v>South</x:v>
      </x:c>
      <x:c r="F246" t="str">
        <x:v>Bengaluru</x:v>
      </x:c>
      <x:c r="G246" t="str">
        <x:v>Ananya Iyer</x:v>
      </x:c>
      <x:c r="H246" t="str">
        <x:v>Home</x:v>
      </x:c>
      <x:c r="I246" t="str">
        <x:v>Microwave</x:v>
      </x:c>
      <x:c r="J246" t="n">
        <x:v>7</x:v>
      </x:c>
      <x:c r="K246" s="140" t="n">
        <x:v>12800</x:v>
      </x:c>
      <x:c r="L246" s="140" t="n">
        <x:v>89600</x:v>
      </x:c>
      <x:c r="M246" s="140" t="n">
        <x:v>57750</x:v>
      </x:c>
      <x:c r="N246" s="140" t="n">
        <x:v>31850</x:v>
      </x:c>
      <x:c r="O246" s="142" t="n">
        <x:v>0.35546875</x:v>
      </x:c>
      <x:c r="P246" t="str">
        <x:v>Existing</x:v>
      </x:c>
      <x:c r="Q246" t="str">
        <x:v>Offline</x:v>
      </x:c>
      <x:c r="R246" s="140" t="n">
        <x:v>85900</x:v>
      </x:c>
      <x:c r="S246" s="142" t="n">
        <x:v>1.0430733410942956</x:v>
      </x:c>
      <x:c r="T246" s="142" t="n">
        <x:v>0.16288107119403006</x:v>
      </x:c>
      <x:c r="U246" t="str">
        <x:v>Completed</x:v>
      </x:c>
      <x:c r="V246" s="142" t="n">
        <x:v>0.05</x:v>
      </x:c>
      <x:c r="W246" t="n">
        <x:v>5</x:v>
      </x:c>
    </x:row>
    <x:row r="247">
      <x:c r="A247" t="str">
        <x:v>ORD-10246</x:v>
      </x:c>
      <x:c r="B247" s="138" t="n">
        <x:v>45940</x:v>
      </x:c>
      <x:c r="C247" t="str">
        <x:v>Oct</x:v>
      </x:c>
      <x:c r="D247" t="str">
        <x:v>Q4</x:v>
      </x:c>
      <x:c r="E247" t="str">
        <x:v>East</x:v>
      </x:c>
      <x:c r="F247" t="str">
        <x:v>Kolkata</x:v>
      </x:c>
      <x:c r="G247" t="str">
        <x:v>Aarav Sen</x:v>
      </x:c>
      <x:c r="H247" t="str">
        <x:v>Office</x:v>
      </x:c>
      <x:c r="I247" t="str">
        <x:v>Laser Printer</x:v>
      </x:c>
      <x:c r="J247" t="n">
        <x:v>13</x:v>
      </x:c>
      <x:c r="K247" s="140" t="n">
        <x:v>18650</x:v>
      </x:c>
      <x:c r="L247" s="140" t="n">
        <x:v>242450</x:v>
      </x:c>
      <x:c r="M247" s="140" t="n">
        <x:v>163800</x:v>
      </x:c>
      <x:c r="N247" s="140" t="n">
        <x:v>78650</x:v>
      </x:c>
      <x:c r="O247" s="142" t="n">
        <x:v>0.32439678284182305</x:v>
      </x:c>
      <x:c r="P247" t="str">
        <x:v>New</x:v>
      </x:c>
      <x:c r="Q247" t="str">
        <x:v>Online</x:v>
      </x:c>
      <x:c r="R247" s="140" t="n">
        <x:v>225000</x:v>
      </x:c>
      <x:c r="S247" s="142" t="n">
        <x:v>1.0775555555555556</x:v>
      </x:c>
      <x:c r="T247" s="142" t="n">
        <x:v>0.19019963846398674</x:v>
      </x:c>
      <x:c r="U247" t="str">
        <x:v>Completed</x:v>
      </x:c>
      <x:c r="V247" s="142" t="n">
        <x:v>0.08</x:v>
      </x:c>
      <x:c r="W247" t="n">
        <x:v>4.8</x:v>
      </x:c>
    </x:row>
    <x:row r="248">
      <x:c r="A248" t="str">
        <x:v>ORD-10247</x:v>
      </x:c>
      <x:c r="B248" s="138" t="n">
        <x:v>45929</x:v>
      </x:c>
      <x:c r="C248" t="str">
        <x:v>Sep</x:v>
      </x:c>
      <x:c r="D248" t="str">
        <x:v>Q3</x:v>
      </x:c>
      <x:c r="E248" t="str">
        <x:v>South</x:v>
      </x:c>
      <x:c r="F248" t="str">
        <x:v>Hyderabad</x:v>
      </x:c>
      <x:c r="G248" t="str">
        <x:v>Vikram Rao</x:v>
      </x:c>
      <x:c r="H248" t="str">
        <x:v>Accessories</x:v>
      </x:c>
      <x:c r="I248" t="str">
        <x:v>Wireless Mouse</x:v>
      </x:c>
      <x:c r="J248" t="n">
        <x:v>13</x:v>
      </x:c>
      <x:c r="K248" s="140" t="n">
        <x:v>1980</x:v>
      </x:c>
      <x:c r="L248" s="140" t="n">
        <x:v>25740</x:v>
      </x:c>
      <x:c r="M248" s="140" t="n">
        <x:v>12090</x:v>
      </x:c>
      <x:c r="N248" s="140" t="n">
        <x:v>13650</x:v>
      </x:c>
      <x:c r="O248" s="142" t="n">
        <x:v>0.5303030303030303</x:v>
      </x:c>
      <x:c r="P248" t="str">
        <x:v>Existing</x:v>
      </x:c>
      <x:c r="Q248" t="str">
        <x:v>Online</x:v>
      </x:c>
      <x:c r="R248" s="140" t="n">
        <x:v>24600</x:v>
      </x:c>
      <x:c r="S248" s="142" t="n">
        <x:v>1.0463414634146342</x:v>
      </x:c>
      <x:c r="T248" s="142" t="n">
        <x:v>0.18913779475691084</x:v>
      </x:c>
      <x:c r="U248" t="str">
        <x:v>Completed</x:v>
      </x:c>
      <x:c r="V248" s="142" t="n">
        <x:v>0.08</x:v>
      </x:c>
      <x:c r="W248" t="n">
        <x:v>3.9</x:v>
      </x:c>
    </x:row>
    <x:row r="249">
      <x:c r="A249" t="str">
        <x:v>ORD-10248</x:v>
      </x:c>
      <x:c r="B249" s="138" t="n">
        <x:v>45858</x:v>
      </x:c>
      <x:c r="C249" t="str">
        <x:v>Jul</x:v>
      </x:c>
      <x:c r="D249" t="str">
        <x:v>Q3</x:v>
      </x:c>
      <x:c r="E249" t="str">
        <x:v>North</x:v>
      </x:c>
      <x:c r="F249" t="str">
        <x:v>Jaipur</x:v>
      </x:c>
      <x:c r="G249" t="str">
        <x:v>Arjun Malhotra</x:v>
      </x:c>
      <x:c r="H249" t="str">
        <x:v>Accessories</x:v>
      </x:c>
      <x:c r="I249" t="str">
        <x:v>Headphones</x:v>
      </x:c>
      <x:c r="J249" t="n">
        <x:v>2</x:v>
      </x:c>
      <x:c r="K249" s="140" t="n">
        <x:v>5780</x:v>
      </x:c>
      <x:c r="L249" s="140" t="n">
        <x:v>11560</x:v>
      </x:c>
      <x:c r="M249" s="140" t="n">
        <x:v>5840</x:v>
      </x:c>
      <x:c r="N249" s="140" t="n">
        <x:v>5720</x:v>
      </x:c>
      <x:c r="O249" s="142" t="n">
        <x:v>0.49480968858131485</x:v>
      </x:c>
      <x:c r="P249" t="str">
        <x:v>New</x:v>
      </x:c>
      <x:c r="Q249" t="str">
        <x:v>Offline</x:v>
      </x:c>
      <x:c r="R249" s="140" t="n">
        <x:v>12200</x:v>
      </x:c>
      <x:c r="S249" s="142" t="n">
        <x:v>0.9475409836065574</x:v>
      </x:c>
      <x:c r="T249" s="142" t="n">
        <x:v>-0.01928302776485779</x:v>
      </x:c>
      <x:c r="U249" t="str">
        <x:v>Completed</x:v>
      </x:c>
      <x:c r="V249" s="142" t="n">
        <x:v>0</x:v>
      </x:c>
      <x:c r="W249" t="n">
        <x:v>4.7</x:v>
      </x:c>
    </x:row>
    <x:row r="250">
      <x:c r="A250" t="str">
        <x:v>ORD-10249</x:v>
      </x:c>
      <x:c r="B250" s="138" t="n">
        <x:v>45892</x:v>
      </x:c>
      <x:c r="C250" t="str">
        <x:v>Aug</x:v>
      </x:c>
      <x:c r="D250" t="str">
        <x:v>Q3</x:v>
      </x:c>
      <x:c r="E250" t="str">
        <x:v>East</x:v>
      </x:c>
      <x:c r="F250" t="str">
        <x:v>Kolkata</x:v>
      </x:c>
      <x:c r="G250" t="str">
        <x:v>Aarav Sen</x:v>
      </x:c>
      <x:c r="H250" t="str">
        <x:v>Office</x:v>
      </x:c>
      <x:c r="I250" t="str">
        <x:v>Laser Printer</x:v>
      </x:c>
      <x:c r="J250" t="n">
        <x:v>8</x:v>
      </x:c>
      <x:c r="K250" s="140" t="n">
        <x:v>19000</x:v>
      </x:c>
      <x:c r="L250" s="140" t="n">
        <x:v>152000</x:v>
      </x:c>
      <x:c r="M250" s="140" t="n">
        <x:v>100800</x:v>
      </x:c>
      <x:c r="N250" s="140" t="n">
        <x:v>51200</x:v>
      </x:c>
      <x:c r="O250" s="142" t="n">
        <x:v>0.3368421052631579</x:v>
      </x:c>
      <x:c r="P250" t="str">
        <x:v>New</x:v>
      </x:c>
      <x:c r="Q250" t="str">
        <x:v>Offline</x:v>
      </x:c>
      <x:c r="R250" s="140" t="n">
        <x:v>166200</x:v>
      </x:c>
      <x:c r="S250" s="142" t="n">
        <x:v>0.914560770156438</x:v>
      </x:c>
      <x:c r="T250" s="142" t="n">
        <x:v>0.013353944927091035</x:v>
      </x:c>
      <x:c r="U250" t="str">
        <x:v>Completed</x:v>
      </x:c>
      <x:c r="V250" s="142" t="n">
        <x:v>0</x:v>
      </x:c>
      <x:c r="W250" t="n">
        <x:v>4.9</x:v>
      </x:c>
    </x:row>
    <x:row r="251">
      <x:c r="A251" t="str">
        <x:v>ORD-10250</x:v>
      </x:c>
      <x:c r="B251" s="138" t="n">
        <x:v>45673</x:v>
      </x:c>
      <x:c r="C251" t="str">
        <x:v>Jan</x:v>
      </x:c>
      <x:c r="D251" t="str">
        <x:v>Q1</x:v>
      </x:c>
      <x:c r="E251" t="str">
        <x:v>South</x:v>
      </x:c>
      <x:c r="F251" t="str">
        <x:v>Chennai</x:v>
      </x:c>
      <x:c r="G251" t="str">
        <x:v>Vikram Rao</x:v>
      </x:c>
      <x:c r="H251" t="str">
        <x:v>Office</x:v>
      </x:c>
      <x:c r="I251" t="str">
        <x:v>Laser Printer</x:v>
      </x:c>
      <x:c r="J251" t="n">
        <x:v>9</x:v>
      </x:c>
      <x:c r="K251" s="140" t="n">
        <x:v>18560</x:v>
      </x:c>
      <x:c r="L251" s="140" t="n">
        <x:v>167040</x:v>
      </x:c>
      <x:c r="M251" s="140" t="n">
        <x:v>113400</x:v>
      </x:c>
      <x:c r="N251" s="140" t="n">
        <x:v>53640</x:v>
      </x:c>
      <x:c r="O251" s="142" t="n">
        <x:v>0.32112068965517243</x:v>
      </x:c>
      <x:c r="P251" t="str">
        <x:v>New</x:v>
      </x:c>
      <x:c r="Q251" t="str">
        <x:v>Online</x:v>
      </x:c>
      <x:c r="R251" s="140" t="n">
        <x:v>188200</x:v>
      </x:c>
      <x:c r="S251" s="142" t="n">
        <x:v>0.8875664187035069</x:v>
      </x:c>
      <x:c r="T251" s="142" t="n">
        <x:v>-0.06607148146570498</x:v>
      </x:c>
      <x:c r="U251" t="str">
        <x:v>Completed</x:v>
      </x:c>
      <x:c r="V251" s="142" t="n">
        <x:v>0.05</x:v>
      </x:c>
      <x:c r="W251" t="n">
        <x:v>4</x:v>
      </x:c>
    </x:row>
    <x:row r="252">
      <x:c r="A252" t="str">
        <x:v>ORD-10251</x:v>
      </x:c>
      <x:c r="B252" s="138" t="n">
        <x:v>45839</x:v>
      </x:c>
      <x:c r="C252" t="str">
        <x:v>Jul</x:v>
      </x:c>
      <x:c r="D252" t="str">
        <x:v>Q3</x:v>
      </x:c>
      <x:c r="E252" t="str">
        <x:v>South</x:v>
      </x:c>
      <x:c r="F252" t="str">
        <x:v>Chennai</x:v>
      </x:c>
      <x:c r="G252" t="str">
        <x:v>Vikram Rao</x:v>
      </x:c>
      <x:c r="H252" t="str">
        <x:v>Electronics</x:v>
      </x:c>
      <x:c r="I252" t="str">
        <x:v>Tablet Plus</x:v>
      </x:c>
      <x:c r="J252" t="n">
        <x:v>8</x:v>
      </x:c>
      <x:c r="K252" s="140" t="n">
        <x:v>24900</x:v>
      </x:c>
      <x:c r="L252" s="140" t="n">
        <x:v>199200</x:v>
      </x:c>
      <x:c r="M252" s="140" t="n">
        <x:v>147200</x:v>
      </x:c>
      <x:c r="N252" s="140" t="n">
        <x:v>52000</x:v>
      </x:c>
      <x:c r="O252" s="142" t="n">
        <x:v>0.26104417670682734</x:v>
      </x:c>
      <x:c r="P252" t="str">
        <x:v>Existing</x:v>
      </x:c>
      <x:c r="Q252" t="str">
        <x:v>Offline</x:v>
      </x:c>
      <x:c r="R252" s="140" t="n">
        <x:v>188000</x:v>
      </x:c>
      <x:c r="S252" s="142" t="n">
        <x:v>1.0595744680851065</x:v>
      </x:c>
      <x:c r="T252" s="142" t="n">
        <x:v>-0.06514723794924049</x:v>
      </x:c>
      <x:c r="U252" t="str">
        <x:v>Completed</x:v>
      </x:c>
      <x:c r="V252" s="142" t="n">
        <x:v>0.08</x:v>
      </x:c>
      <x:c r="W252" t="n">
        <x:v>4.1</x:v>
      </x:c>
    </x:row>
    <x:row r="253">
      <x:c r="A253" t="str">
        <x:v>ORD-10252</x:v>
      </x:c>
      <x:c r="B253" s="138" t="n">
        <x:v>45853</x:v>
      </x:c>
      <x:c r="C253" t="str">
        <x:v>Jul</x:v>
      </x:c>
      <x:c r="D253" t="str">
        <x:v>Q3</x:v>
      </x:c>
      <x:c r="E253" t="str">
        <x:v>South</x:v>
      </x:c>
      <x:c r="F253" t="str">
        <x:v>Chennai</x:v>
      </x:c>
      <x:c r="G253" t="str">
        <x:v>Ananya Iyer</x:v>
      </x:c>
      <x:c r="H253" t="str">
        <x:v>Electronics</x:v>
      </x:c>
      <x:c r="I253" t="str">
        <x:v>Smartphone X</x:v>
      </x:c>
      <x:c r="J253" t="n">
        <x:v>16</x:v>
      </x:c>
      <x:c r="K253" s="140" t="n">
        <x:v>29380</x:v>
      </x:c>
      <x:c r="L253" s="140" t="n">
        <x:v>470080</x:v>
      </x:c>
      <x:c r="M253" s="140" t="n">
        <x:v>364800</x:v>
      </x:c>
      <x:c r="N253" s="140" t="n">
        <x:v>105280</x:v>
      </x:c>
      <x:c r="O253" s="142" t="n">
        <x:v>0.22396187882913546</x:v>
      </x:c>
      <x:c r="P253" t="str">
        <x:v>Existing</x:v>
      </x:c>
      <x:c r="Q253" t="str">
        <x:v>Offline</x:v>
      </x:c>
      <x:c r="R253" s="140" t="n">
        <x:v>499300</x:v>
      </x:c>
      <x:c r="S253" s="142" t="n">
        <x:v>0.9414780692970158</x:v>
      </x:c>
      <x:c r="T253" s="142" t="n">
        <x:v>-0.07643846199666954</x:v>
      </x:c>
      <x:c r="U253" t="str">
        <x:v>Completed</x:v>
      </x:c>
      <x:c r="V253" s="142" t="n">
        <x:v>0.08</x:v>
      </x:c>
      <x:c r="W253" t="n">
        <x:v>4.1</x:v>
      </x:c>
    </x:row>
    <x:row r="254">
      <x:c r="A254" t="str">
        <x:v>ORD-10253</x:v>
      </x:c>
      <x:c r="B254" s="138" t="n">
        <x:v>45795</x:v>
      </x:c>
      <x:c r="C254" t="str">
        <x:v>May</x:v>
      </x:c>
      <x:c r="D254" t="str">
        <x:v>Q2</x:v>
      </x:c>
      <x:c r="E254" t="str">
        <x:v>South</x:v>
      </x:c>
      <x:c r="F254" t="str">
        <x:v>Hyderabad</x:v>
      </x:c>
      <x:c r="G254" t="str">
        <x:v>Ananya Iyer</x:v>
      </x:c>
      <x:c r="H254" t="str">
        <x:v>Electronics</x:v>
      </x:c>
      <x:c r="I254" t="str">
        <x:v>Laptop Pro</x:v>
      </x:c>
      <x:c r="J254" t="n">
        <x:v>3</x:v>
      </x:c>
      <x:c r="K254" s="140" t="n">
        <x:v>73380</x:v>
      </x:c>
      <x:c r="L254" s="140" t="n">
        <x:v>220140</x:v>
      </x:c>
      <x:c r="M254" s="140" t="n">
        <x:v>157500</x:v>
      </x:c>
      <x:c r="N254" s="140" t="n">
        <x:v>62640</x:v>
      </x:c>
      <x:c r="O254" s="142" t="n">
        <x:v>0.28454619787408014</x:v>
      </x:c>
      <x:c r="P254" t="str">
        <x:v>Existing</x:v>
      </x:c>
      <x:c r="Q254" t="str">
        <x:v>Online</x:v>
      </x:c>
      <x:c r="R254" s="140" t="n">
        <x:v>227400</x:v>
      </x:c>
      <x:c r="S254" s="142" t="n">
        <x:v>0.9680738786279683</x:v>
      </x:c>
      <x:c r="T254" s="142" t="n">
        <x:v>0.10156983817537064</x:v>
      </x:c>
      <x:c r="U254" t="str">
        <x:v>Completed</x:v>
      </x:c>
      <x:c r="V254" s="142" t="n">
        <x:v>0</x:v>
      </x:c>
      <x:c r="W254" t="n">
        <x:v>4</x:v>
      </x:c>
    </x:row>
    <x:row r="255">
      <x:c r="A255" t="str">
        <x:v>ORD-10254</x:v>
      </x:c>
      <x:c r="B255" s="138" t="n">
        <x:v>45828</x:v>
      </x:c>
      <x:c r="C255" t="str">
        <x:v>Jun</x:v>
      </x:c>
      <x:c r="D255" t="str">
        <x:v>Q2</x:v>
      </x:c>
      <x:c r="E255" t="str">
        <x:v>North</x:v>
      </x:c>
      <x:c r="F255" t="str">
        <x:v>Jaipur</x:v>
      </x:c>
      <x:c r="G255" t="str">
        <x:v>Neha Verma</x:v>
      </x:c>
      <x:c r="H255" t="str">
        <x:v>Accessories</x:v>
      </x:c>
      <x:c r="I255" t="str">
        <x:v>Wireless Mouse</x:v>
      </x:c>
      <x:c r="J255" t="n">
        <x:v>12</x:v>
      </x:c>
      <x:c r="K255" s="140" t="n">
        <x:v>2180</x:v>
      </x:c>
      <x:c r="L255" s="140" t="n">
        <x:v>26160</x:v>
      </x:c>
      <x:c r="M255" s="140" t="n">
        <x:v>11160</x:v>
      </x:c>
      <x:c r="N255" s="140" t="n">
        <x:v>15000</x:v>
      </x:c>
      <x:c r="O255" s="142" t="n">
        <x:v>0.573394495412844</x:v>
      </x:c>
      <x:c r="P255" t="str">
        <x:v>New</x:v>
      </x:c>
      <x:c r="Q255" t="str">
        <x:v>Offline</x:v>
      </x:c>
      <x:c r="R255" s="140" t="n">
        <x:v>24700</x:v>
      </x:c>
      <x:c r="S255" s="142" t="n">
        <x:v>1.0591093117408907</x:v>
      </x:c>
      <x:c r="T255" s="142" t="n">
        <x:v>-0.0470666971621713</x:v>
      </x:c>
      <x:c r="U255" t="str">
        <x:v>Completed</x:v>
      </x:c>
      <x:c r="V255" s="142" t="n">
        <x:v>0</x:v>
      </x:c>
      <x:c r="W255" t="n">
        <x:v>3.5</x:v>
      </x:c>
    </x:row>
    <x:row r="256">
      <x:c r="A256" t="str">
        <x:v>ORD-10255</x:v>
      </x:c>
      <x:c r="B256" s="138" t="n">
        <x:v>45849</x:v>
      </x:c>
      <x:c r="C256" t="str">
        <x:v>Jul</x:v>
      </x:c>
      <x:c r="D256" t="str">
        <x:v>Q3</x:v>
      </x:c>
      <x:c r="E256" t="str">
        <x:v>South</x:v>
      </x:c>
      <x:c r="F256" t="str">
        <x:v>Chennai</x:v>
      </x:c>
      <x:c r="G256" t="str">
        <x:v>Vikram Rao</x:v>
      </x:c>
      <x:c r="H256" t="str">
        <x:v>Home</x:v>
      </x:c>
      <x:c r="I256" t="str">
        <x:v>Air Purifier</x:v>
      </x:c>
      <x:c r="J256" t="n">
        <x:v>8</x:v>
      </x:c>
      <x:c r="K256" s="140" t="n">
        <x:v>17090</x:v>
      </x:c>
      <x:c r="L256" s="140" t="n">
        <x:v>136720</x:v>
      </x:c>
      <x:c r="M256" s="140" t="n">
        <x:v>83200</x:v>
      </x:c>
      <x:c r="N256" s="140" t="n">
        <x:v>53520</x:v>
      </x:c>
      <x:c r="O256" s="142" t="n">
        <x:v>0.3914569923932124</x:v>
      </x:c>
      <x:c r="P256" t="str">
        <x:v>Existing</x:v>
      </x:c>
      <x:c r="Q256" t="str">
        <x:v>Online</x:v>
      </x:c>
      <x:c r="R256" s="140" t="n">
        <x:v>145400</x:v>
      </x:c>
      <x:c r="S256" s="142" t="n">
        <x:v>0.9403026134800551</x:v>
      </x:c>
      <x:c r="T256" s="142" t="n">
        <x:v>0.01661605212808616</x:v>
      </x:c>
      <x:c r="U256" t="str">
        <x:v>Completed</x:v>
      </x:c>
      <x:c r="V256" s="142" t="n">
        <x:v>0</x:v>
      </x:c>
      <x:c r="W256" t="n">
        <x:v>4.4</x:v>
      </x:c>
    </x:row>
    <x:row r="257">
      <x:c r="A257" t="str">
        <x:v>ORD-10256</x:v>
      </x:c>
      <x:c r="B257" s="138" t="n">
        <x:v>45921</x:v>
      </x:c>
      <x:c r="C257" t="str">
        <x:v>Sep</x:v>
      </x:c>
      <x:c r="D257" t="str">
        <x:v>Q3</x:v>
      </x:c>
      <x:c r="E257" t="str">
        <x:v>North</x:v>
      </x:c>
      <x:c r="F257" t="str">
        <x:v>Delhi</x:v>
      </x:c>
      <x:c r="G257" t="str">
        <x:v>Arjun Malhotra</x:v>
      </x:c>
      <x:c r="H257" t="str">
        <x:v>Home</x:v>
      </x:c>
      <x:c r="I257" t="str">
        <x:v>Vacuum Cleaner</x:v>
      </x:c>
      <x:c r="J257" t="n">
        <x:v>4</x:v>
      </x:c>
      <x:c r="K257" s="140" t="n">
        <x:v>11790</x:v>
      </x:c>
      <x:c r="L257" s="140" t="n">
        <x:v>47160</x:v>
      </x:c>
      <x:c r="M257" s="140" t="n">
        <x:v>28400</x:v>
      </x:c>
      <x:c r="N257" s="140" t="n">
        <x:v>18760</x:v>
      </x:c>
      <x:c r="O257" s="142" t="n">
        <x:v>0.3977947413061917</x:v>
      </x:c>
      <x:c r="P257" t="str">
        <x:v>Existing</x:v>
      </x:c>
      <x:c r="Q257" t="str">
        <x:v>Offline</x:v>
      </x:c>
      <x:c r="R257" s="140" t="n">
        <x:v>50600</x:v>
      </x:c>
      <x:c r="S257" s="142" t="n">
        <x:v>0.9320158102766798</x:v>
      </x:c>
      <x:c r="T257" s="142" t="n">
        <x:v>0.10235683646516301</x:v>
      </x:c>
      <x:c r="U257" t="str">
        <x:v>Completed</x:v>
      </x:c>
      <x:c r="V257" s="142" t="n">
        <x:v>0</x:v>
      </x:c>
      <x:c r="W257" t="n">
        <x:v>4.1</x:v>
      </x:c>
    </x:row>
    <x:row r="258">
      <x:c r="A258" t="str">
        <x:v>ORD-10257</x:v>
      </x:c>
      <x:c r="B258" s="138" t="n">
        <x:v>45658</x:v>
      </x:c>
      <x:c r="C258" t="str">
        <x:v>Jan</x:v>
      </x:c>
      <x:c r="D258" t="str">
        <x:v>Q1</x:v>
      </x:c>
      <x:c r="E258" t="str">
        <x:v>East</x:v>
      </x:c>
      <x:c r="F258" t="str">
        <x:v>Kolkata</x:v>
      </x:c>
      <x:c r="G258" t="str">
        <x:v>Aarav Sen</x:v>
      </x:c>
      <x:c r="H258" t="str">
        <x:v>Electronics</x:v>
      </x:c>
      <x:c r="I258" t="str">
        <x:v>Smartphone X</x:v>
      </x:c>
      <x:c r="J258" t="n">
        <x:v>8</x:v>
      </x:c>
      <x:c r="K258" s="140" t="n">
        <x:v>33050</x:v>
      </x:c>
      <x:c r="L258" s="140" t="n">
        <x:v>264400</x:v>
      </x:c>
      <x:c r="M258" s="140" t="n">
        <x:v>182400</x:v>
      </x:c>
      <x:c r="N258" s="140" t="n">
        <x:v>82000</x:v>
      </x:c>
      <x:c r="O258" s="142" t="n">
        <x:v>0.3101361573373676</x:v>
      </x:c>
      <x:c r="P258" t="str">
        <x:v>Existing</x:v>
      </x:c>
      <x:c r="Q258" t="str">
        <x:v>Online</x:v>
      </x:c>
      <x:c r="R258" s="140" t="n">
        <x:v>272500</x:v>
      </x:c>
      <x:c r="S258" s="142" t="n">
        <x:v>0.9702752293577982</x:v>
      </x:c>
      <x:c r="T258" s="142" t="n">
        <x:v>0.020420592795193954</x:v>
      </x:c>
      <x:c r="U258" t="str">
        <x:v>Completed</x:v>
      </x:c>
      <x:c r="V258" s="142" t="n">
        <x:v>0</x:v>
      </x:c>
      <x:c r="W258" t="n">
        <x:v>4.4</x:v>
      </x:c>
    </x:row>
    <x:row r="259">
      <x:c r="A259" t="str">
        <x:v>ORD-10258</x:v>
      </x:c>
      <x:c r="B259" s="138" t="n">
        <x:v>45997</x:v>
      </x:c>
      <x:c r="C259" t="str">
        <x:v>Dec</x:v>
      </x:c>
      <x:c r="D259" t="str">
        <x:v>Q4</x:v>
      </x:c>
      <x:c r="E259" t="str">
        <x:v>West</x:v>
      </x:c>
      <x:c r="F259" t="str">
        <x:v>Pune</x:v>
      </x:c>
      <x:c r="G259" t="str">
        <x:v>Kabir Shah</x:v>
      </x:c>
      <x:c r="H259" t="str">
        <x:v>Electronics</x:v>
      </x:c>
      <x:c r="I259" t="str">
        <x:v>Tablet Plus</x:v>
      </x:c>
      <x:c r="J259" t="n">
        <x:v>15</x:v>
      </x:c>
      <x:c r="K259" s="140" t="n">
        <x:v>25730</x:v>
      </x:c>
      <x:c r="L259" s="140" t="n">
        <x:v>385950</x:v>
      </x:c>
      <x:c r="M259" s="140" t="n">
        <x:v>276000</x:v>
      </x:c>
      <x:c r="N259" s="140" t="n">
        <x:v>109950</x:v>
      </x:c>
      <x:c r="O259" s="142" t="n">
        <x:v>0.28488146132918774</x:v>
      </x:c>
      <x:c r="P259" t="str">
        <x:v>Existing</x:v>
      </x:c>
      <x:c r="Q259" t="str">
        <x:v>Online</x:v>
      </x:c>
      <x:c r="R259" s="140" t="n">
        <x:v>419300</x:v>
      </x:c>
      <x:c r="S259" s="142" t="n">
        <x:v>0.9204626758883854</x:v>
      </x:c>
      <x:c r="T259" s="142" t="n">
        <x:v>0.08752544126987795</x:v>
      </x:c>
      <x:c r="U259" t="str">
        <x:v>Completed</x:v>
      </x:c>
      <x:c r="V259" s="142" t="n">
        <x:v>0.03</x:v>
      </x:c>
      <x:c r="W259" t="n">
        <x:v>4.3</x:v>
      </x:c>
    </x:row>
    <x:row r="260">
      <x:c r="A260" t="str">
        <x:v>ORD-10259</x:v>
      </x:c>
      <x:c r="B260" s="138" t="n">
        <x:v>45711</x:v>
      </x:c>
      <x:c r="C260" t="str">
        <x:v>Feb</x:v>
      </x:c>
      <x:c r="D260" t="str">
        <x:v>Q1</x:v>
      </x:c>
      <x:c r="E260" t="str">
        <x:v>South</x:v>
      </x:c>
      <x:c r="F260" t="str">
        <x:v>Hyderabad</x:v>
      </x:c>
      <x:c r="G260" t="str">
        <x:v>Ananya Iyer</x:v>
      </x:c>
      <x:c r="H260" t="str">
        <x:v>Accessories</x:v>
      </x:c>
      <x:c r="I260" t="str">
        <x:v>Wireless Mouse</x:v>
      </x:c>
      <x:c r="J260" t="n">
        <x:v>1</x:v>
      </x:c>
      <x:c r="K260" s="140" t="n">
        <x:v>1890</x:v>
      </x:c>
      <x:c r="L260" s="140" t="n">
        <x:v>1890</x:v>
      </x:c>
      <x:c r="M260" s="140" t="n">
        <x:v>930</x:v>
      </x:c>
      <x:c r="N260" s="140" t="n">
        <x:v>960</x:v>
      </x:c>
      <x:c r="O260" s="142" t="n">
        <x:v>0.5079365079365079</x:v>
      </x:c>
      <x:c r="P260" t="str">
        <x:v>Existing</x:v>
      </x:c>
      <x:c r="Q260" t="str">
        <x:v>Online</x:v>
      </x:c>
      <x:c r="R260" s="140" t="n">
        <x:v>1900</x:v>
      </x:c>
      <x:c r="S260" s="142" t="n">
        <x:v>0.9947368421052631</x:v>
      </x:c>
      <x:c r="T260" s="142" t="n">
        <x:v>-0.07848866207363678</x:v>
      </x:c>
      <x:c r="U260" t="str">
        <x:v>Completed</x:v>
      </x:c>
      <x:c r="V260" s="142" t="n">
        <x:v>0.08</x:v>
      </x:c>
      <x:c r="W260" t="n">
        <x:v>4.6</x:v>
      </x:c>
    </x:row>
    <x:row r="261">
      <x:c r="A261" t="str">
        <x:v>ORD-10260</x:v>
      </x:c>
      <x:c r="B261" s="138" t="n">
        <x:v>45711</x:v>
      </x:c>
      <x:c r="C261" t="str">
        <x:v>Feb</x:v>
      </x:c>
      <x:c r="D261" t="str">
        <x:v>Q1</x:v>
      </x:c>
      <x:c r="E261" t="str">
        <x:v>West</x:v>
      </x:c>
      <x:c r="F261" t="str">
        <x:v>Pune</x:v>
      </x:c>
      <x:c r="G261" t="str">
        <x:v>Kabir Shah</x:v>
      </x:c>
      <x:c r="H261" t="str">
        <x:v>Office</x:v>
      </x:c>
      <x:c r="I261" t="str">
        <x:v>Laser Printer</x:v>
      </x:c>
      <x:c r="J261" t="n">
        <x:v>10</x:v>
      </x:c>
      <x:c r="K261" s="140" t="n">
        <x:v>17960</x:v>
      </x:c>
      <x:c r="L261" s="140" t="n">
        <x:v>179600</x:v>
      </x:c>
      <x:c r="M261" s="140" t="n">
        <x:v>126000</x:v>
      </x:c>
      <x:c r="N261" s="140" t="n">
        <x:v>53600</x:v>
      </x:c>
      <x:c r="O261" s="142" t="n">
        <x:v>0.2984409799554566</x:v>
      </x:c>
      <x:c r="P261" t="str">
        <x:v>New</x:v>
      </x:c>
      <x:c r="Q261" t="str">
        <x:v>Online</x:v>
      </x:c>
      <x:c r="R261" s="140" t="n">
        <x:v>181300</x:v>
      </x:c>
      <x:c r="S261" s="142" t="n">
        <x:v>0.9906232763375621</x:v>
      </x:c>
      <x:c r="T261" s="142" t="n">
        <x:v>0.04017808659377589</x:v>
      </x:c>
      <x:c r="U261" t="str">
        <x:v>Completed</x:v>
      </x:c>
      <x:c r="V261" s="142" t="n">
        <x:v>0.08</x:v>
      </x:c>
      <x:c r="W261" t="n">
        <x:v>4</x:v>
      </x:c>
    </x:row>
    <x:row r="262">
      <x:c r="A262" t="str">
        <x:v>ORD-10261</x:v>
      </x:c>
      <x:c r="B262" s="138" t="n">
        <x:v>45954</x:v>
      </x:c>
      <x:c r="C262" t="str">
        <x:v>Oct</x:v>
      </x:c>
      <x:c r="D262" t="str">
        <x:v>Q4</x:v>
      </x:c>
      <x:c r="E262" t="str">
        <x:v>West</x:v>
      </x:c>
      <x:c r="F262" t="str">
        <x:v>Ahmedabad</x:v>
      </x:c>
      <x:c r="G262" t="str">
        <x:v>Meera Patel</x:v>
      </x:c>
      <x:c r="H262" t="str">
        <x:v>Accessories</x:v>
      </x:c>
      <x:c r="I262" t="str">
        <x:v>Keyboard</x:v>
      </x:c>
      <x:c r="J262" t="n">
        <x:v>7</x:v>
      </x:c>
      <x:c r="K262" s="140" t="n">
        <x:v>3570</x:v>
      </x:c>
      <x:c r="L262" s="140" t="n">
        <x:v>24990</x:v>
      </x:c>
      <x:c r="M262" s="140" t="n">
        <x:v>12320</x:v>
      </x:c>
      <x:c r="N262" s="140" t="n">
        <x:v>12670</x:v>
      </x:c>
      <x:c r="O262" s="142" t="n">
        <x:v>0.5070028011204482</x:v>
      </x:c>
      <x:c r="P262" t="str">
        <x:v>Existing</x:v>
      </x:c>
      <x:c r="Q262" t="str">
        <x:v>Online</x:v>
      </x:c>
      <x:c r="R262" s="140" t="n">
        <x:v>26700</x:v>
      </x:c>
      <x:c r="S262" s="142" t="n">
        <x:v>0.9359550561797753</x:v>
      </x:c>
      <x:c r="T262" s="142" t="n">
        <x:v>0.08107581033310692</x:v>
      </x:c>
      <x:c r="U262" t="str">
        <x:v>Completed</x:v>
      </x:c>
      <x:c r="V262" s="142" t="n">
        <x:v>0.08</x:v>
      </x:c>
      <x:c r="W262" t="n">
        <x:v>3.5</x:v>
      </x:c>
    </x:row>
    <x:row r="263">
      <x:c r="A263" t="str">
        <x:v>ORD-10262</x:v>
      </x:c>
      <x:c r="B263" s="138" t="n">
        <x:v>45814</x:v>
      </x:c>
      <x:c r="C263" t="str">
        <x:v>Jun</x:v>
      </x:c>
      <x:c r="D263" t="str">
        <x:v>Q2</x:v>
      </x:c>
      <x:c r="E263" t="str">
        <x:v>South</x:v>
      </x:c>
      <x:c r="F263" t="str">
        <x:v>Chennai</x:v>
      </x:c>
      <x:c r="G263" t="str">
        <x:v>Ananya Iyer</x:v>
      </x:c>
      <x:c r="H263" t="str">
        <x:v>Home</x:v>
      </x:c>
      <x:c r="I263" t="str">
        <x:v>Microwave</x:v>
      </x:c>
      <x:c r="J263" t="n">
        <x:v>6</x:v>
      </x:c>
      <x:c r="K263" s="140" t="n">
        <x:v>12510</x:v>
      </x:c>
      <x:c r="L263" s="140" t="n">
        <x:v>75060</x:v>
      </x:c>
      <x:c r="M263" s="140" t="n">
        <x:v>49500</x:v>
      </x:c>
      <x:c r="N263" s="140" t="n">
        <x:v>25560</x:v>
      </x:c>
      <x:c r="O263" s="142" t="n">
        <x:v>0.3405275779376499</x:v>
      </x:c>
      <x:c r="P263" t="str">
        <x:v>Existing</x:v>
      </x:c>
      <x:c r="Q263" t="str">
        <x:v>Offline</x:v>
      </x:c>
      <x:c r="R263" s="140" t="n">
        <x:v>72900</x:v>
      </x:c>
      <x:c r="S263" s="142" t="n">
        <x:v>1.0296296296296297</x:v>
      </x:c>
      <x:c r="T263" s="142" t="n">
        <x:v>-0.020949948533754988</x:v>
      </x:c>
      <x:c r="U263" t="str">
        <x:v>Pending</x:v>
      </x:c>
      <x:c r="V263" s="142" t="n">
        <x:v>0.05</x:v>
      </x:c>
      <x:c r="W263" t="n">
        <x:v>3.6</x:v>
      </x:c>
    </x:row>
    <x:row r="264">
      <x:c r="A264" t="str">
        <x:v>ORD-10263</x:v>
      </x:c>
      <x:c r="B264" s="138" t="n">
        <x:v>45824</x:v>
      </x:c>
      <x:c r="C264" t="str">
        <x:v>Jun</x:v>
      </x:c>
      <x:c r="D264" t="str">
        <x:v>Q2</x:v>
      </x:c>
      <x:c r="E264" t="str">
        <x:v>East</x:v>
      </x:c>
      <x:c r="F264" t="str">
        <x:v>Patna</x:v>
      </x:c>
      <x:c r="G264" t="str">
        <x:v>Riya Das</x:v>
      </x:c>
      <x:c r="H264" t="str">
        <x:v>Home</x:v>
      </x:c>
      <x:c r="I264" t="str">
        <x:v>Microwave</x:v>
      </x:c>
      <x:c r="J264" t="n">
        <x:v>2</x:v>
      </x:c>
      <x:c r="K264" s="140" t="n">
        <x:v>12970</x:v>
      </x:c>
      <x:c r="L264" s="140" t="n">
        <x:v>25940</x:v>
      </x:c>
      <x:c r="M264" s="140" t="n">
        <x:v>16500</x:v>
      </x:c>
      <x:c r="N264" s="140" t="n">
        <x:v>9440</x:v>
      </x:c>
      <x:c r="O264" s="142" t="n">
        <x:v>0.36391673091750193</x:v>
      </x:c>
      <x:c r="P264" t="str">
        <x:v>New</x:v>
      </x:c>
      <x:c r="Q264" t="str">
        <x:v>Online</x:v>
      </x:c>
      <x:c r="R264" s="140" t="n">
        <x:v>29000</x:v>
      </x:c>
      <x:c r="S264" s="142" t="n">
        <x:v>0.8944827586206896</x:v>
      </x:c>
      <x:c r="T264" s="142" t="n">
        <x:v>0.17870530083289787</x:v>
      </x:c>
      <x:c r="U264" t="str">
        <x:v>Completed</x:v>
      </x:c>
      <x:c r="V264" s="142" t="n">
        <x:v>0.05</x:v>
      </x:c>
      <x:c r="W264" t="n">
        <x:v>3.5</x:v>
      </x:c>
    </x:row>
    <x:row r="265">
      <x:c r="A265" t="str">
        <x:v>ORD-10264</x:v>
      </x:c>
      <x:c r="B265" s="138" t="n">
        <x:v>45660</x:v>
      </x:c>
      <x:c r="C265" t="str">
        <x:v>Jan</x:v>
      </x:c>
      <x:c r="D265" t="str">
        <x:v>Q1</x:v>
      </x:c>
      <x:c r="E265" t="str">
        <x:v>South</x:v>
      </x:c>
      <x:c r="F265" t="str">
        <x:v>Hyderabad</x:v>
      </x:c>
      <x:c r="G265" t="str">
        <x:v>Ananya Iyer</x:v>
      </x:c>
      <x:c r="H265" t="str">
        <x:v>Home</x:v>
      </x:c>
      <x:c r="I265" t="str">
        <x:v>Vacuum Cleaner</x:v>
      </x:c>
      <x:c r="J265" t="n">
        <x:v>10</x:v>
      </x:c>
      <x:c r="K265" s="140" t="n">
        <x:v>12050</x:v>
      </x:c>
      <x:c r="L265" s="140" t="n">
        <x:v>120500</x:v>
      </x:c>
      <x:c r="M265" s="140" t="n">
        <x:v>71000</x:v>
      </x:c>
      <x:c r="N265" s="140" t="n">
        <x:v>49500</x:v>
      </x:c>
      <x:c r="O265" s="142" t="n">
        <x:v>0.4107883817427386</x:v>
      </x:c>
      <x:c r="P265" t="str">
        <x:v>Existing</x:v>
      </x:c>
      <x:c r="Q265" t="str">
        <x:v>Offline</x:v>
      </x:c>
      <x:c r="R265" s="140" t="n">
        <x:v>112700</x:v>
      </x:c>
      <x:c r="S265" s="142" t="n">
        <x:v>1.0692102928127774</x:v>
      </x:c>
      <x:c r="T265" s="142" t="n">
        <x:v>-0.04701574429251308</x:v>
      </x:c>
      <x:c r="U265" t="str">
        <x:v>Completed</x:v>
      </x:c>
      <x:c r="V265" s="142" t="n">
        <x:v>0</x:v>
      </x:c>
      <x:c r="W265" t="n">
        <x:v>4.9</x:v>
      </x:c>
    </x:row>
    <x:row r="266">
      <x:c r="A266" t="str">
        <x:v>ORD-10265</x:v>
      </x:c>
      <x:c r="B266" s="138" t="n">
        <x:v>45942</x:v>
      </x:c>
      <x:c r="C266" t="str">
        <x:v>Oct</x:v>
      </x:c>
      <x:c r="D266" t="str">
        <x:v>Q4</x:v>
      </x:c>
      <x:c r="E266" t="str">
        <x:v>West</x:v>
      </x:c>
      <x:c r="F266" t="str">
        <x:v>Mumbai</x:v>
      </x:c>
      <x:c r="G266" t="str">
        <x:v>Meera Patel</x:v>
      </x:c>
      <x:c r="H266" t="str">
        <x:v>Accessories</x:v>
      </x:c>
      <x:c r="I266" t="str">
        <x:v>Wireless Mouse</x:v>
      </x:c>
      <x:c r="J266" t="n">
        <x:v>3</x:v>
      </x:c>
      <x:c r="K266" s="140" t="n">
        <x:v>2000</x:v>
      </x:c>
      <x:c r="L266" s="140" t="n">
        <x:v>6000</x:v>
      </x:c>
      <x:c r="M266" s="140" t="n">
        <x:v>2790</x:v>
      </x:c>
      <x:c r="N266" s="140" t="n">
        <x:v>3210</x:v>
      </x:c>
      <x:c r="O266" s="142" t="n">
        <x:v>0.535</x:v>
      </x:c>
      <x:c r="P266" t="str">
        <x:v>New</x:v>
      </x:c>
      <x:c r="Q266" t="str">
        <x:v>Offline</x:v>
      </x:c>
      <x:c r="R266" s="140" t="n">
        <x:v>6200</x:v>
      </x:c>
      <x:c r="S266" s="142" t="n">
        <x:v>0.967741935483871</x:v>
      </x:c>
      <x:c r="T266" s="142" t="n">
        <x:v>-0.022722304727017625</x:v>
      </x:c>
      <x:c r="U266" t="str">
        <x:v>Completed</x:v>
      </x:c>
      <x:c r="V266" s="142" t="n">
        <x:v>0.08</x:v>
      </x:c>
      <x:c r="W266" t="n">
        <x:v>4.8</x:v>
      </x:c>
    </x:row>
    <x:row r="267">
      <x:c r="A267" t="str">
        <x:v>ORD-10266</x:v>
      </x:c>
      <x:c r="B267" s="138" t="n">
        <x:v>45713</x:v>
      </x:c>
      <x:c r="C267" t="str">
        <x:v>Feb</x:v>
      </x:c>
      <x:c r="D267" t="str">
        <x:v>Q1</x:v>
      </x:c>
      <x:c r="E267" t="str">
        <x:v>North</x:v>
      </x:c>
      <x:c r="F267" t="str">
        <x:v>Jaipur</x:v>
      </x:c>
      <x:c r="G267" t="str">
        <x:v>Arjun Malhotra</x:v>
      </x:c>
      <x:c r="H267" t="str">
        <x:v>Office</x:v>
      </x:c>
      <x:c r="I267" t="str">
        <x:v>Standing Desk</x:v>
      </x:c>
      <x:c r="J267" t="n">
        <x:v>13</x:v>
      </x:c>
      <x:c r="K267" s="140" t="n">
        <x:v>19650</x:v>
      </x:c>
      <x:c r="L267" s="140" t="n">
        <x:v>255450</x:v>
      </x:c>
      <x:c r="M267" s="140" t="n">
        <x:v>180700</x:v>
      </x:c>
      <x:c r="N267" s="140" t="n">
        <x:v>74750</x:v>
      </x:c>
      <x:c r="O267" s="142" t="n">
        <x:v>0.2926208651399491</x:v>
      </x:c>
      <x:c r="P267" t="str">
        <x:v>Existing</x:v>
      </x:c>
      <x:c r="Q267" t="str">
        <x:v>Offline</x:v>
      </x:c>
      <x:c r="R267" s="140" t="n">
        <x:v>253300</x:v>
      </x:c>
      <x:c r="S267" s="142" t="n">
        <x:v>1.008487958941966</x:v>
      </x:c>
      <x:c r="T267" s="142" t="n">
        <x:v>-0.025530355114741624</x:v>
      </x:c>
      <x:c r="U267" t="str">
        <x:v>Completed</x:v>
      </x:c>
      <x:c r="V267" s="142" t="n">
        <x:v>0.08</x:v>
      </x:c>
      <x:c r="W267" t="n">
        <x:v>3.4</x:v>
      </x:c>
    </x:row>
    <x:row r="268">
      <x:c r="A268" t="str">
        <x:v>ORD-10267</x:v>
      </x:c>
      <x:c r="B268" s="138" t="n">
        <x:v>45753</x:v>
      </x:c>
      <x:c r="C268" t="str">
        <x:v>Apr</x:v>
      </x:c>
      <x:c r="D268" t="str">
        <x:v>Q2</x:v>
      </x:c>
      <x:c r="E268" t="str">
        <x:v>West</x:v>
      </x:c>
      <x:c r="F268" t="str">
        <x:v>Pune</x:v>
      </x:c>
      <x:c r="G268" t="str">
        <x:v>Kabir Shah</x:v>
      </x:c>
      <x:c r="H268" t="str">
        <x:v>Accessories</x:v>
      </x:c>
      <x:c r="I268" t="str">
        <x:v>Headphones</x:v>
      </x:c>
      <x:c r="J268" t="n">
        <x:v>6</x:v>
      </x:c>
      <x:c r="K268" s="140" t="n">
        <x:v>5440</x:v>
      </x:c>
      <x:c r="L268" s="140" t="n">
        <x:v>32640</x:v>
      </x:c>
      <x:c r="M268" s="140" t="n">
        <x:v>17520</x:v>
      </x:c>
      <x:c r="N268" s="140" t="n">
        <x:v>15120</x:v>
      </x:c>
      <x:c r="O268" s="142" t="n">
        <x:v>0.4632352941176471</x:v>
      </x:c>
      <x:c r="P268" t="str">
        <x:v>Existing</x:v>
      </x:c>
      <x:c r="Q268" t="str">
        <x:v>Online</x:v>
      </x:c>
      <x:c r="R268" s="140" t="n">
        <x:v>37000</x:v>
      </x:c>
      <x:c r="S268" s="142" t="n">
        <x:v>0.8821621621621621</x:v>
      </x:c>
      <x:c r="T268" s="142" t="n">
        <x:v>0.13422825542238714</x:v>
      </x:c>
      <x:c r="U268" t="str">
        <x:v>Completed</x:v>
      </x:c>
      <x:c r="V268" s="142" t="n">
        <x:v>0.08</x:v>
      </x:c>
      <x:c r="W268" t="n">
        <x:v>4.6</x:v>
      </x:c>
    </x:row>
    <x:row r="269">
      <x:c r="A269" t="str">
        <x:v>ORD-10268</x:v>
      </x:c>
      <x:c r="B269" s="138" t="n">
        <x:v>45767</x:v>
      </x:c>
      <x:c r="C269" t="str">
        <x:v>Apr</x:v>
      </x:c>
      <x:c r="D269" t="str">
        <x:v>Q2</x:v>
      </x:c>
      <x:c r="E269" t="str">
        <x:v>South</x:v>
      </x:c>
      <x:c r="F269" t="str">
        <x:v>Chennai</x:v>
      </x:c>
      <x:c r="G269" t="str">
        <x:v>Vikram Rao</x:v>
      </x:c>
      <x:c r="H269" t="str">
        <x:v>Office</x:v>
      </x:c>
      <x:c r="I269" t="str">
        <x:v>Ergonomic Chair</x:v>
      </x:c>
      <x:c r="J269" t="n">
        <x:v>2</x:v>
      </x:c>
      <x:c r="K269" s="140" t="n">
        <x:v>11240</x:v>
      </x:c>
      <x:c r="L269" s="140" t="n">
        <x:v>22480</x:v>
      </x:c>
      <x:c r="M269" s="140" t="n">
        <x:v>15200</x:v>
      </x:c>
      <x:c r="N269" s="140" t="n">
        <x:v>7280</x:v>
      </x:c>
      <x:c r="O269" s="142" t="n">
        <x:v>0.3238434163701068</x:v>
      </x:c>
      <x:c r="P269" t="str">
        <x:v>Existing</x:v>
      </x:c>
      <x:c r="Q269" t="str">
        <x:v>Online</x:v>
      </x:c>
      <x:c r="R269" s="140" t="n">
        <x:v>23600</x:v>
      </x:c>
      <x:c r="S269" s="142" t="n">
        <x:v>0.9525423728813559</x:v>
      </x:c>
      <x:c r="T269" s="142" t="n">
        <x:v>0.14935215429789933</x:v>
      </x:c>
      <x:c r="U269" t="str">
        <x:v>Completed</x:v>
      </x:c>
      <x:c r="V269" s="142" t="n">
        <x:v>0.08</x:v>
      </x:c>
      <x:c r="W269" t="n">
        <x:v>4.1</x:v>
      </x:c>
    </x:row>
    <x:row r="270">
      <x:c r="A270" t="str">
        <x:v>ORD-10269</x:v>
      </x:c>
      <x:c r="B270" s="138" t="n">
        <x:v>45689</x:v>
      </x:c>
      <x:c r="C270" t="str">
        <x:v>Feb</x:v>
      </x:c>
      <x:c r="D270" t="str">
        <x:v>Q1</x:v>
      </x:c>
      <x:c r="E270" t="str">
        <x:v>North</x:v>
      </x:c>
      <x:c r="F270" t="str">
        <x:v>Delhi</x:v>
      </x:c>
      <x:c r="G270" t="str">
        <x:v>Arjun Malhotra</x:v>
      </x:c>
      <x:c r="H270" t="str">
        <x:v>Office</x:v>
      </x:c>
      <x:c r="I270" t="str">
        <x:v>Ergonomic Chair</x:v>
      </x:c>
      <x:c r="J270" t="n">
        <x:v>3</x:v>
      </x:c>
      <x:c r="K270" s="140" t="n">
        <x:v>11490</x:v>
      </x:c>
      <x:c r="L270" s="140" t="n">
        <x:v>34470</x:v>
      </x:c>
      <x:c r="M270" s="140" t="n">
        <x:v>22800</x:v>
      </x:c>
      <x:c r="N270" s="140" t="n">
        <x:v>11670</x:v>
      </x:c>
      <x:c r="O270" s="142" t="n">
        <x:v>0.33855526544821585</x:v>
      </x:c>
      <x:c r="P270" t="str">
        <x:v>Existing</x:v>
      </x:c>
      <x:c r="Q270" t="str">
        <x:v>Online</x:v>
      </x:c>
      <x:c r="R270" s="140" t="n">
        <x:v>35400</x:v>
      </x:c>
      <x:c r="S270" s="142" t="n">
        <x:v>0.9737288135593221</x:v>
      </x:c>
      <x:c r="T270" s="142" t="n">
        <x:v>0.12092802488641345</x:v>
      </x:c>
      <x:c r="U270" t="str">
        <x:v>Completed</x:v>
      </x:c>
      <x:c r="V270" s="142" t="n">
        <x:v>0.08</x:v>
      </x:c>
      <x:c r="W270" t="n">
        <x:v>4</x:v>
      </x:c>
    </x:row>
    <x:row r="271">
      <x:c r="A271" t="str">
        <x:v>ORD-10270</x:v>
      </x:c>
      <x:c r="B271" s="138" t="n">
        <x:v>45871</x:v>
      </x:c>
      <x:c r="C271" t="str">
        <x:v>Aug</x:v>
      </x:c>
      <x:c r="D271" t="str">
        <x:v>Q3</x:v>
      </x:c>
      <x:c r="E271" t="str">
        <x:v>West</x:v>
      </x:c>
      <x:c r="F271" t="str">
        <x:v>Mumbai</x:v>
      </x:c>
      <x:c r="G271" t="str">
        <x:v>Meera Patel</x:v>
      </x:c>
      <x:c r="H271" t="str">
        <x:v>Accessories</x:v>
      </x:c>
      <x:c r="I271" t="str">
        <x:v>Wireless Mouse</x:v>
      </x:c>
      <x:c r="J271" t="n">
        <x:v>3</x:v>
      </x:c>
      <x:c r="K271" s="140" t="n">
        <x:v>2070</x:v>
      </x:c>
      <x:c r="L271" s="140" t="n">
        <x:v>6210</x:v>
      </x:c>
      <x:c r="M271" s="140" t="n">
        <x:v>2790</x:v>
      </x:c>
      <x:c r="N271" s="140" t="n">
        <x:v>3420</x:v>
      </x:c>
      <x:c r="O271" s="142" t="n">
        <x:v>0.5507246376811594</x:v>
      </x:c>
      <x:c r="P271" t="str">
        <x:v>Existing</x:v>
      </x:c>
      <x:c r="Q271" t="str">
        <x:v>Offline</x:v>
      </x:c>
      <x:c r="R271" s="140" t="n">
        <x:v>6400</x:v>
      </x:c>
      <x:c r="S271" s="142" t="n">
        <x:v>0.9703125</x:v>
      </x:c>
      <x:c r="T271" s="142" t="n">
        <x:v>0.19185323945670685</x:v>
      </x:c>
      <x:c r="U271" t="str">
        <x:v>Cancelled</x:v>
      </x:c>
      <x:c r="V271" s="142" t="n">
        <x:v>0.05</x:v>
      </x:c>
      <x:c r="W271" t="n">
        <x:v>4.6</x:v>
      </x:c>
    </x:row>
    <x:row r="272">
      <x:c r="A272" t="str">
        <x:v>ORD-10271</x:v>
      </x:c>
      <x:c r="B272" s="138" t="n">
        <x:v>46013</x:v>
      </x:c>
      <x:c r="C272" t="str">
        <x:v>Dec</x:v>
      </x:c>
      <x:c r="D272" t="str">
        <x:v>Q4</x:v>
      </x:c>
      <x:c r="E272" t="str">
        <x:v>East</x:v>
      </x:c>
      <x:c r="F272" t="str">
        <x:v>Bhubaneswar</x:v>
      </x:c>
      <x:c r="G272" t="str">
        <x:v>Aarav Sen</x:v>
      </x:c>
      <x:c r="H272" t="str">
        <x:v>Office</x:v>
      </x:c>
      <x:c r="I272" t="str">
        <x:v>Laser Printer</x:v>
      </x:c>
      <x:c r="J272" t="n">
        <x:v>12</x:v>
      </x:c>
      <x:c r="K272" s="140" t="n">
        <x:v>19390</x:v>
      </x:c>
      <x:c r="L272" s="140" t="n">
        <x:v>232680</x:v>
      </x:c>
      <x:c r="M272" s="140" t="n">
        <x:v>151200</x:v>
      </x:c>
      <x:c r="N272" s="140" t="n">
        <x:v>81480</x:v>
      </x:c>
      <x:c r="O272" s="142" t="n">
        <x:v>0.35018050541516244</x:v>
      </x:c>
      <x:c r="P272" t="str">
        <x:v>Existing</x:v>
      </x:c>
      <x:c r="Q272" t="str">
        <x:v>Offline</x:v>
      </x:c>
      <x:c r="R272" s="140" t="n">
        <x:v>221100</x:v>
      </x:c>
      <x:c r="S272" s="142" t="n">
        <x:v>1.0523744911804613</x:v>
      </x:c>
      <x:c r="T272" s="142" t="n">
        <x:v>0.15756857971218846</x:v>
      </x:c>
      <x:c r="U272" t="str">
        <x:v>Pending</x:v>
      </x:c>
      <x:c r="V272" s="142" t="n">
        <x:v>0.03</x:v>
      </x:c>
      <x:c r="W272" t="n">
        <x:v>3.9</x:v>
      </x:c>
    </x:row>
    <x:row r="273">
      <x:c r="A273" t="str">
        <x:v>ORD-10272</x:v>
      </x:c>
      <x:c r="B273" s="138" t="n">
        <x:v>45822</x:v>
      </x:c>
      <x:c r="C273" t="str">
        <x:v>Jun</x:v>
      </x:c>
      <x:c r="D273" t="str">
        <x:v>Q2</x:v>
      </x:c>
      <x:c r="E273" t="str">
        <x:v>North</x:v>
      </x:c>
      <x:c r="F273" t="str">
        <x:v>Delhi</x:v>
      </x:c>
      <x:c r="G273" t="str">
        <x:v>Arjun Malhotra</x:v>
      </x:c>
      <x:c r="H273" t="str">
        <x:v>Home</x:v>
      </x:c>
      <x:c r="I273" t="str">
        <x:v>Vacuum Cleaner</x:v>
      </x:c>
      <x:c r="J273" t="n">
        <x:v>9</x:v>
      </x:c>
      <x:c r="K273" s="140" t="n">
        <x:v>11570</x:v>
      </x:c>
      <x:c r="L273" s="140" t="n">
        <x:v>104130</x:v>
      </x:c>
      <x:c r="M273" s="140" t="n">
        <x:v>63900</x:v>
      </x:c>
      <x:c r="N273" s="140" t="n">
        <x:v>40230</x:v>
      </x:c>
      <x:c r="O273" s="142" t="n">
        <x:v>0.3863439930855661</x:v>
      </x:c>
      <x:c r="P273" t="str">
        <x:v>Existing</x:v>
      </x:c>
      <x:c r="Q273" t="str">
        <x:v>Offline</x:v>
      </x:c>
      <x:c r="R273" s="140" t="n">
        <x:v>109600</x:v>
      </x:c>
      <x:c r="S273" s="142" t="n">
        <x:v>0.9500912408759125</x:v>
      </x:c>
      <x:c r="T273" s="142" t="n">
        <x:v>0.007204246687895183</x:v>
      </x:c>
      <x:c r="U273" t="str">
        <x:v>Completed</x:v>
      </x:c>
      <x:c r="V273" s="142" t="n">
        <x:v>0</x:v>
      </x:c>
      <x:c r="W273" t="n">
        <x:v>4.8</x:v>
      </x:c>
    </x:row>
    <x:row r="274">
      <x:c r="A274" t="str">
        <x:v>ORD-10273</x:v>
      </x:c>
      <x:c r="B274" s="138" t="n">
        <x:v>45813</x:v>
      </x:c>
      <x:c r="C274" t="str">
        <x:v>Jun</x:v>
      </x:c>
      <x:c r="D274" t="str">
        <x:v>Q2</x:v>
      </x:c>
      <x:c r="E274" t="str">
        <x:v>South</x:v>
      </x:c>
      <x:c r="F274" t="str">
        <x:v>Bengaluru</x:v>
      </x:c>
      <x:c r="G274" t="str">
        <x:v>Ananya Iyer</x:v>
      </x:c>
      <x:c r="H274" t="str">
        <x:v>Accessories</x:v>
      </x:c>
      <x:c r="I274" t="str">
        <x:v>Wireless Mouse</x:v>
      </x:c>
      <x:c r="J274" t="n">
        <x:v>6</x:v>
      </x:c>
      <x:c r="K274" s="140" t="n">
        <x:v>2060</x:v>
      </x:c>
      <x:c r="L274" s="140" t="n">
        <x:v>12360</x:v>
      </x:c>
      <x:c r="M274" s="140" t="n">
        <x:v>5580</x:v>
      </x:c>
      <x:c r="N274" s="140" t="n">
        <x:v>6780</x:v>
      </x:c>
      <x:c r="O274" s="142" t="n">
        <x:v>0.5485436893203883</x:v>
      </x:c>
      <x:c r="P274" t="str">
        <x:v>New</x:v>
      </x:c>
      <x:c r="Q274" t="str">
        <x:v>Online</x:v>
      </x:c>
      <x:c r="R274" s="140" t="n">
        <x:v>11400</x:v>
      </x:c>
      <x:c r="S274" s="142" t="n">
        <x:v>1.0842105263157895</x:v>
      </x:c>
      <x:c r="T274" s="142" t="n">
        <x:v>-0.06035609102485745</x:v>
      </x:c>
      <x:c r="U274" t="str">
        <x:v>Completed</x:v>
      </x:c>
      <x:c r="V274" s="142" t="n">
        <x:v>0</x:v>
      </x:c>
      <x:c r="W274" t="n">
        <x:v>4.4</x:v>
      </x:c>
    </x:row>
    <x:row r="275">
      <x:c r="A275" t="str">
        <x:v>ORD-10274</x:v>
      </x:c>
      <x:c r="B275" s="138" t="n">
        <x:v>45706</x:v>
      </x:c>
      <x:c r="C275" t="str">
        <x:v>Feb</x:v>
      </x:c>
      <x:c r="D275" t="str">
        <x:v>Q1</x:v>
      </x:c>
      <x:c r="E275" t="str">
        <x:v>East</x:v>
      </x:c>
      <x:c r="F275" t="str">
        <x:v>Bhubaneswar</x:v>
      </x:c>
      <x:c r="G275" t="str">
        <x:v>Riya Das</x:v>
      </x:c>
      <x:c r="H275" t="str">
        <x:v>Electronics</x:v>
      </x:c>
      <x:c r="I275" t="str">
        <x:v>Smartphone X</x:v>
      </x:c>
      <x:c r="J275" t="n">
        <x:v>5</x:v>
      </x:c>
      <x:c r="K275" s="140" t="n">
        <x:v>32730</x:v>
      </x:c>
      <x:c r="L275" s="140" t="n">
        <x:v>163650</x:v>
      </x:c>
      <x:c r="M275" s="140" t="n">
        <x:v>114000</x:v>
      </x:c>
      <x:c r="N275" s="140" t="n">
        <x:v>49650</x:v>
      </x:c>
      <x:c r="O275" s="142" t="n">
        <x:v>0.30339138405132904</x:v>
      </x:c>
      <x:c r="P275" t="str">
        <x:v>New</x:v>
      </x:c>
      <x:c r="Q275" t="str">
        <x:v>Online</x:v>
      </x:c>
      <x:c r="R275" s="140" t="n">
        <x:v>175300</x:v>
      </x:c>
      <x:c r="S275" s="142" t="n">
        <x:v>0.9335424985738734</x:v>
      </x:c>
      <x:c r="T275" s="142" t="n">
        <x:v>0.08675686456352337</x:v>
      </x:c>
      <x:c r="U275" t="str">
        <x:v>Completed</x:v>
      </x:c>
      <x:c r="V275" s="142" t="n">
        <x:v>0</x:v>
      </x:c>
      <x:c r="W275" t="n">
        <x:v>4.1</x:v>
      </x:c>
    </x:row>
    <x:row r="276">
      <x:c r="A276" t="str">
        <x:v>ORD-10275</x:v>
      </x:c>
      <x:c r="B276" s="138" t="n">
        <x:v>45914</x:v>
      </x:c>
      <x:c r="C276" t="str">
        <x:v>Sep</x:v>
      </x:c>
      <x:c r="D276" t="str">
        <x:v>Q3</x:v>
      </x:c>
      <x:c r="E276" t="str">
        <x:v>South</x:v>
      </x:c>
      <x:c r="F276" t="str">
        <x:v>Hyderabad</x:v>
      </x:c>
      <x:c r="G276" t="str">
        <x:v>Vikram Rao</x:v>
      </x:c>
      <x:c r="H276" t="str">
        <x:v>Electronics</x:v>
      </x:c>
      <x:c r="I276" t="str">
        <x:v>Laptop Pro</x:v>
      </x:c>
      <x:c r="J276" t="n">
        <x:v>2</x:v>
      </x:c>
      <x:c r="K276" s="140" t="n">
        <x:v>69210</x:v>
      </x:c>
      <x:c r="L276" s="140" t="n">
        <x:v>138420</x:v>
      </x:c>
      <x:c r="M276" s="140" t="n">
        <x:v>105000</x:v>
      </x:c>
      <x:c r="N276" s="140" t="n">
        <x:v>33420</x:v>
      </x:c>
      <x:c r="O276" s="142" t="n">
        <x:v>0.24143909839618552</x:v>
      </x:c>
      <x:c r="P276" t="str">
        <x:v>Existing</x:v>
      </x:c>
      <x:c r="Q276" t="str">
        <x:v>Online</x:v>
      </x:c>
      <x:c r="R276" s="140" t="n">
        <x:v>140900</x:v>
      </x:c>
      <x:c r="S276" s="142" t="n">
        <x:v>0.9823988644428673</x:v>
      </x:c>
      <x:c r="T276" s="142" t="n">
        <x:v>-0.06098505664621841</x:v>
      </x:c>
      <x:c r="U276" t="str">
        <x:v>Completed</x:v>
      </x:c>
      <x:c r="V276" s="142" t="n">
        <x:v>0.03</x:v>
      </x:c>
      <x:c r="W276" t="n">
        <x:v>3.7</x:v>
      </x:c>
    </x:row>
    <x:row r="277">
      <x:c r="A277" t="str">
        <x:v>ORD-10276</x:v>
      </x:c>
      <x:c r="B277" s="138" t="n">
        <x:v>45966</x:v>
      </x:c>
      <x:c r="C277" t="str">
        <x:v>Nov</x:v>
      </x:c>
      <x:c r="D277" t="str">
        <x:v>Q4</x:v>
      </x:c>
      <x:c r="E277" t="str">
        <x:v>East</x:v>
      </x:c>
      <x:c r="F277" t="str">
        <x:v>Kolkata</x:v>
      </x:c>
      <x:c r="G277" t="str">
        <x:v>Aarav Sen</x:v>
      </x:c>
      <x:c r="H277" t="str">
        <x:v>Accessories</x:v>
      </x:c>
      <x:c r="I277" t="str">
        <x:v>Wireless Mouse</x:v>
      </x:c>
      <x:c r="J277" t="n">
        <x:v>2</x:v>
      </x:c>
      <x:c r="K277" s="140" t="n">
        <x:v>2120</x:v>
      </x:c>
      <x:c r="L277" s="140" t="n">
        <x:v>4240</x:v>
      </x:c>
      <x:c r="M277" s="140" t="n">
        <x:v>1860</x:v>
      </x:c>
      <x:c r="N277" s="140" t="n">
        <x:v>2380</x:v>
      </x:c>
      <x:c r="O277" s="142" t="n">
        <x:v>0.5613207547169812</x:v>
      </x:c>
      <x:c r="P277" t="str">
        <x:v>Existing</x:v>
      </x:c>
      <x:c r="Q277" t="str">
        <x:v>Online</x:v>
      </x:c>
      <x:c r="R277" s="140" t="n">
        <x:v>5000</x:v>
      </x:c>
      <x:c r="S277" s="142" t="n">
        <x:v>0.848</x:v>
      </x:c>
      <x:c r="T277" s="142" t="n">
        <x:v>0.04310435267473131</x:v>
      </x:c>
      <x:c r="U277" t="str">
        <x:v>Completed</x:v>
      </x:c>
      <x:c r="V277" s="142" t="n">
        <x:v>0.03</x:v>
      </x:c>
      <x:c r="W277" t="n">
        <x:v>4</x:v>
      </x:c>
    </x:row>
    <x:row r="278">
      <x:c r="A278" t="str">
        <x:v>ORD-10277</x:v>
      </x:c>
      <x:c r="B278" s="138" t="n">
        <x:v>45928</x:v>
      </x:c>
      <x:c r="C278" t="str">
        <x:v>Sep</x:v>
      </x:c>
      <x:c r="D278" t="str">
        <x:v>Q3</x:v>
      </x:c>
      <x:c r="E278" t="str">
        <x:v>East</x:v>
      </x:c>
      <x:c r="F278" t="str">
        <x:v>Kolkata</x:v>
      </x:c>
      <x:c r="G278" t="str">
        <x:v>Aarav Sen</x:v>
      </x:c>
      <x:c r="H278" t="str">
        <x:v>Office</x:v>
      </x:c>
      <x:c r="I278" t="str">
        <x:v>Laser Printer</x:v>
      </x:c>
      <x:c r="J278" t="n">
        <x:v>12</x:v>
      </x:c>
      <x:c r="K278" s="140" t="n">
        <x:v>19260</x:v>
      </x:c>
      <x:c r="L278" s="140" t="n">
        <x:v>231120</x:v>
      </x:c>
      <x:c r="M278" s="140" t="n">
        <x:v>151200</x:v>
      </x:c>
      <x:c r="N278" s="140" t="n">
        <x:v>79920</x:v>
      </x:c>
      <x:c r="O278" s="142" t="n">
        <x:v>0.34579439252336447</x:v>
      </x:c>
      <x:c r="P278" t="str">
        <x:v>Existing</x:v>
      </x:c>
      <x:c r="Q278" t="str">
        <x:v>Online</x:v>
      </x:c>
      <x:c r="R278" s="140" t="n">
        <x:v>272000</x:v>
      </x:c>
      <x:c r="S278" s="142" t="n">
        <x:v>0.8497058823529412</x:v>
      </x:c>
      <x:c r="T278" s="142" t="n">
        <x:v>0.14920798285478643</x:v>
      </x:c>
      <x:c r="U278" t="str">
        <x:v>Completed</x:v>
      </x:c>
      <x:c r="V278" s="142" t="n">
        <x:v>0</x:v>
      </x:c>
      <x:c r="W278" t="n">
        <x:v>4.2</x:v>
      </x:c>
    </x:row>
    <x:row r="279">
      <x:c r="A279" t="str">
        <x:v>ORD-10278</x:v>
      </x:c>
      <x:c r="B279" s="138" t="n">
        <x:v>45975</x:v>
      </x:c>
      <x:c r="C279" t="str">
        <x:v>Nov</x:v>
      </x:c>
      <x:c r="D279" t="str">
        <x:v>Q4</x:v>
      </x:c>
      <x:c r="E279" t="str">
        <x:v>West</x:v>
      </x:c>
      <x:c r="F279" t="str">
        <x:v>Ahmedabad</x:v>
      </x:c>
      <x:c r="G279" t="str">
        <x:v>Kabir Shah</x:v>
      </x:c>
      <x:c r="H279" t="str">
        <x:v>Home</x:v>
      </x:c>
      <x:c r="I279" t="str">
        <x:v>Microwave</x:v>
      </x:c>
      <x:c r="J279" t="n">
        <x:v>6</x:v>
      </x:c>
      <x:c r="K279" s="140" t="n">
        <x:v>13290</x:v>
      </x:c>
      <x:c r="L279" s="140" t="n">
        <x:v>79740</x:v>
      </x:c>
      <x:c r="M279" s="140" t="n">
        <x:v>49500</x:v>
      </x:c>
      <x:c r="N279" s="140" t="n">
        <x:v>30240</x:v>
      </x:c>
      <x:c r="O279" s="142" t="n">
        <x:v>0.3792325056433409</x:v>
      </x:c>
      <x:c r="P279" t="str">
        <x:v>Existing</x:v>
      </x:c>
      <x:c r="Q279" t="str">
        <x:v>Offline</x:v>
      </x:c>
      <x:c r="R279" s="140" t="n">
        <x:v>76100</x:v>
      </x:c>
      <x:c r="S279" s="142" t="n">
        <x:v>1.0478318002628122</x:v>
      </x:c>
      <x:c r="T279" s="142" t="n">
        <x:v>0.0005028349876678856</x:v>
      </x:c>
      <x:c r="U279" t="str">
        <x:v>Completed</x:v>
      </x:c>
      <x:c r="V279" s="142" t="n">
        <x:v>0</x:v>
      </x:c>
      <x:c r="W279" t="n">
        <x:v>3.8</x:v>
      </x:c>
    </x:row>
    <x:row r="280">
      <x:c r="A280" t="str">
        <x:v>ORD-10279</x:v>
      </x:c>
      <x:c r="B280" s="138" t="n">
        <x:v>45680</x:v>
      </x:c>
      <x:c r="C280" t="str">
        <x:v>Jan</x:v>
      </x:c>
      <x:c r="D280" t="str">
        <x:v>Q1</x:v>
      </x:c>
      <x:c r="E280" t="str">
        <x:v>West</x:v>
      </x:c>
      <x:c r="F280" t="str">
        <x:v>Pune</x:v>
      </x:c>
      <x:c r="G280" t="str">
        <x:v>Meera Patel</x:v>
      </x:c>
      <x:c r="H280" t="str">
        <x:v>Accessories</x:v>
      </x:c>
      <x:c r="I280" t="str">
        <x:v>Keyboard</x:v>
      </x:c>
      <x:c r="J280" t="n">
        <x:v>2</x:v>
      </x:c>
      <x:c r="K280" s="140" t="n">
        <x:v>3830</x:v>
      </x:c>
      <x:c r="L280" s="140" t="n">
        <x:v>7660</x:v>
      </x:c>
      <x:c r="M280" s="140" t="n">
        <x:v>3520</x:v>
      </x:c>
      <x:c r="N280" s="140" t="n">
        <x:v>4140</x:v>
      </x:c>
      <x:c r="O280" s="142" t="n">
        <x:v>0.5404699738903395</x:v>
      </x:c>
      <x:c r="P280" t="str">
        <x:v>New</x:v>
      </x:c>
      <x:c r="Q280" t="str">
        <x:v>Offline</x:v>
      </x:c>
      <x:c r="R280" s="140" t="n">
        <x:v>8800</x:v>
      </x:c>
      <x:c r="S280" s="142" t="n">
        <x:v>0.8704545454545455</x:v>
      </x:c>
      <x:c r="T280" s="142" t="n">
        <x:v>0.1706473266153981</x:v>
      </x:c>
      <x:c r="U280" t="str">
        <x:v>Completed</x:v>
      </x:c>
      <x:c r="V280" s="142" t="n">
        <x:v>0</x:v>
      </x:c>
      <x:c r="W280" t="n">
        <x:v>3.7</x:v>
      </x:c>
    </x:row>
    <x:row r="281">
      <x:c r="A281" t="str">
        <x:v>ORD-10280</x:v>
      </x:c>
      <x:c r="B281" s="138" t="n">
        <x:v>45767</x:v>
      </x:c>
      <x:c r="C281" t="str">
        <x:v>Apr</x:v>
      </x:c>
      <x:c r="D281" t="str">
        <x:v>Q2</x:v>
      </x:c>
      <x:c r="E281" t="str">
        <x:v>West</x:v>
      </x:c>
      <x:c r="F281" t="str">
        <x:v>Ahmedabad</x:v>
      </x:c>
      <x:c r="G281" t="str">
        <x:v>Meera Patel</x:v>
      </x:c>
      <x:c r="H281" t="str">
        <x:v>Electronics</x:v>
      </x:c>
      <x:c r="I281" t="str">
        <x:v>Tablet Plus</x:v>
      </x:c>
      <x:c r="J281" t="n">
        <x:v>14</x:v>
      </x:c>
      <x:c r="K281" s="140" t="n">
        <x:v>24260</x:v>
      </x:c>
      <x:c r="L281" s="140" t="n">
        <x:v>339640</x:v>
      </x:c>
      <x:c r="M281" s="140" t="n">
        <x:v>257600</x:v>
      </x:c>
      <x:c r="N281" s="140" t="n">
        <x:v>82040</x:v>
      </x:c>
      <x:c r="O281" s="142" t="n">
        <x:v>0.24154987633965375</x:v>
      </x:c>
      <x:c r="P281" t="str">
        <x:v>Existing</x:v>
      </x:c>
      <x:c r="Q281" t="str">
        <x:v>Online</x:v>
      </x:c>
      <x:c r="R281" s="140" t="n">
        <x:v>358100</x:v>
      </x:c>
      <x:c r="S281" s="142" t="n">
        <x:v>0.9484501535883831</x:v>
      </x:c>
      <x:c r="T281" s="142" t="n">
        <x:v>0.11410673966397498</x:v>
      </x:c>
      <x:c r="U281" t="str">
        <x:v>Completed</x:v>
      </x:c>
      <x:c r="V281" s="142" t="n">
        <x:v>0.05</x:v>
      </x:c>
      <x:c r="W281" t="n">
        <x:v>4.6</x:v>
      </x:c>
    </x:row>
    <x:row r="282">
      <x:c r="A282" t="str">
        <x:v>ORD-10281</x:v>
      </x:c>
      <x:c r="B282" s="138" t="n">
        <x:v>45737</x:v>
      </x:c>
      <x:c r="C282" t="str">
        <x:v>Mar</x:v>
      </x:c>
      <x:c r="D282" t="str">
        <x:v>Q1</x:v>
      </x:c>
      <x:c r="E282" t="str">
        <x:v>East</x:v>
      </x:c>
      <x:c r="F282" t="str">
        <x:v>Bhubaneswar</x:v>
      </x:c>
      <x:c r="G282" t="str">
        <x:v>Aarav Sen</x:v>
      </x:c>
      <x:c r="H282" t="str">
        <x:v>Home</x:v>
      </x:c>
      <x:c r="I282" t="str">
        <x:v>Air Purifier</x:v>
      </x:c>
      <x:c r="J282" t="n">
        <x:v>2</x:v>
      </x:c>
      <x:c r="K282" s="140" t="n">
        <x:v>15120</x:v>
      </x:c>
      <x:c r="L282" s="140" t="n">
        <x:v>30240</x:v>
      </x:c>
      <x:c r="M282" s="140" t="n">
        <x:v>20800</x:v>
      </x:c>
      <x:c r="N282" s="140" t="n">
        <x:v>9440</x:v>
      </x:c>
      <x:c r="O282" s="142" t="n">
        <x:v>0.31216931216931215</x:v>
      </x:c>
      <x:c r="P282" t="str">
        <x:v>Existing</x:v>
      </x:c>
      <x:c r="Q282" t="str">
        <x:v>Online</x:v>
      </x:c>
      <x:c r="R282" s="140" t="n">
        <x:v>34300</x:v>
      </x:c>
      <x:c r="S282" s="142" t="n">
        <x:v>0.8816326530612245</x:v>
      </x:c>
      <x:c r="T282" s="142" t="n">
        <x:v>-0.051206905637672204</x:v>
      </x:c>
      <x:c r="U282" t="str">
        <x:v>Completed</x:v>
      </x:c>
      <x:c r="V282" s="142" t="n">
        <x:v>0.08</x:v>
      </x:c>
      <x:c r="W282" t="n">
        <x:v>5</x:v>
      </x:c>
    </x:row>
    <x:row r="283">
      <x:c r="A283" t="str">
        <x:v>ORD-10282</x:v>
      </x:c>
      <x:c r="B283" s="138" t="n">
        <x:v>45900</x:v>
      </x:c>
      <x:c r="C283" t="str">
        <x:v>Aug</x:v>
      </x:c>
      <x:c r="D283" t="str">
        <x:v>Q3</x:v>
      </x:c>
      <x:c r="E283" t="str">
        <x:v>West</x:v>
      </x:c>
      <x:c r="F283" t="str">
        <x:v>Pune</x:v>
      </x:c>
      <x:c r="G283" t="str">
        <x:v>Kabir Shah</x:v>
      </x:c>
      <x:c r="H283" t="str">
        <x:v>Office</x:v>
      </x:c>
      <x:c r="I283" t="str">
        <x:v>Standing Desk</x:v>
      </x:c>
      <x:c r="J283" t="n">
        <x:v>11</x:v>
      </x:c>
      <x:c r="K283" s="140" t="n">
        <x:v>20560</x:v>
      </x:c>
      <x:c r="L283" s="140" t="n">
        <x:v>226160</x:v>
      </x:c>
      <x:c r="M283" s="140" t="n">
        <x:v>152900</x:v>
      </x:c>
      <x:c r="N283" s="140" t="n">
        <x:v>73260</x:v>
      </x:c>
      <x:c r="O283" s="142" t="n">
        <x:v>0.3239299610894942</x:v>
      </x:c>
      <x:c r="P283" t="str">
        <x:v>Existing</x:v>
      </x:c>
      <x:c r="Q283" t="str">
        <x:v>Offline</x:v>
      </x:c>
      <x:c r="R283" s="140" t="n">
        <x:v>217500</x:v>
      </x:c>
      <x:c r="S283" s="142" t="n">
        <x:v>1.039816091954023</x:v>
      </x:c>
      <x:c r="T283" s="142" t="n">
        <x:v>0.05380908153460669</x:v>
      </x:c>
      <x:c r="U283" t="str">
        <x:v>Pending</x:v>
      </x:c>
      <x:c r="V283" s="142" t="n">
        <x:v>0</x:v>
      </x:c>
      <x:c r="W283" t="n">
        <x:v>4</x:v>
      </x:c>
    </x:row>
    <x:row r="284">
      <x:c r="A284" t="str">
        <x:v>ORD-10283</x:v>
      </x:c>
      <x:c r="B284" s="138" t="n">
        <x:v>45661</x:v>
      </x:c>
      <x:c r="C284" t="str">
        <x:v>Jan</x:v>
      </x:c>
      <x:c r="D284" t="str">
        <x:v>Q1</x:v>
      </x:c>
      <x:c r="E284" t="str">
        <x:v>North</x:v>
      </x:c>
      <x:c r="F284" t="str">
        <x:v>Jaipur</x:v>
      </x:c>
      <x:c r="G284" t="str">
        <x:v>Neha Verma</x:v>
      </x:c>
      <x:c r="H284" t="str">
        <x:v>Office</x:v>
      </x:c>
      <x:c r="I284" t="str">
        <x:v>Ergonomic Chair</x:v>
      </x:c>
      <x:c r="J284" t="n">
        <x:v>14</x:v>
      </x:c>
      <x:c r="K284" s="140" t="n">
        <x:v>11740</x:v>
      </x:c>
      <x:c r="L284" s="140" t="n">
        <x:v>164360</x:v>
      </x:c>
      <x:c r="M284" s="140" t="n">
        <x:v>106400</x:v>
      </x:c>
      <x:c r="N284" s="140" t="n">
        <x:v>57960</x:v>
      </x:c>
      <x:c r="O284" s="142" t="n">
        <x:v>0.3526405451448041</x:v>
      </x:c>
      <x:c r="P284" t="str">
        <x:v>Existing</x:v>
      </x:c>
      <x:c r="Q284" t="str">
        <x:v>Online</x:v>
      </x:c>
      <x:c r="R284" s="140" t="n">
        <x:v>155300</x:v>
      </x:c>
      <x:c r="S284" s="142" t="n">
        <x:v>1.0583386992916934</x:v>
      </x:c>
      <x:c r="T284" s="142" t="n">
        <x:v>0.07631319727788373</x:v>
      </x:c>
      <x:c r="U284" t="str">
        <x:v>Cancelled</x:v>
      </x:c>
      <x:c r="V284" s="142" t="n">
        <x:v>0.08</x:v>
      </x:c>
      <x:c r="W284" t="n">
        <x:v>4.2</x:v>
      </x:c>
    </x:row>
    <x:row r="285">
      <x:c r="A285" t="str">
        <x:v>ORD-10284</x:v>
      </x:c>
      <x:c r="B285" s="138" t="n">
        <x:v>45853</x:v>
      </x:c>
      <x:c r="C285" t="str">
        <x:v>Jul</x:v>
      </x:c>
      <x:c r="D285" t="str">
        <x:v>Q3</x:v>
      </x:c>
      <x:c r="E285" t="str">
        <x:v>South</x:v>
      </x:c>
      <x:c r="F285" t="str">
        <x:v>Chennai</x:v>
      </x:c>
      <x:c r="G285" t="str">
        <x:v>Vikram Rao</x:v>
      </x:c>
      <x:c r="H285" t="str">
        <x:v>Office</x:v>
      </x:c>
      <x:c r="I285" t="str">
        <x:v>Laser Printer</x:v>
      </x:c>
      <x:c r="J285" t="n">
        <x:v>14</x:v>
      </x:c>
      <x:c r="K285" s="140" t="n">
        <x:v>19140</x:v>
      </x:c>
      <x:c r="L285" s="140" t="n">
        <x:v>267960</x:v>
      </x:c>
      <x:c r="M285" s="140" t="n">
        <x:v>176400</x:v>
      </x:c>
      <x:c r="N285" s="140" t="n">
        <x:v>91560</x:v>
      </x:c>
      <x:c r="O285" s="142" t="n">
        <x:v>0.34169278996865204</x:v>
      </x:c>
      <x:c r="P285" t="str">
        <x:v>Existing</x:v>
      </x:c>
      <x:c r="Q285" t="str">
        <x:v>Offline</x:v>
      </x:c>
      <x:c r="R285" s="140" t="n">
        <x:v>276500</x:v>
      </x:c>
      <x:c r="S285" s="142" t="n">
        <x:v>0.9691139240506329</x:v>
      </x:c>
      <x:c r="T285" s="142" t="n">
        <x:v>0.1367899644340383</x:v>
      </x:c>
      <x:c r="U285" t="str">
        <x:v>Completed</x:v>
      </x:c>
      <x:c r="V285" s="142" t="n">
        <x:v>0.05</x:v>
      </x:c>
      <x:c r="W285" t="n">
        <x:v>4.8</x:v>
      </x:c>
    </x:row>
    <x:row r="286">
      <x:c r="A286" t="str">
        <x:v>ORD-10285</x:v>
      </x:c>
      <x:c r="B286" s="138" t="n">
        <x:v>45979</x:v>
      </x:c>
      <x:c r="C286" t="str">
        <x:v>Nov</x:v>
      </x:c>
      <x:c r="D286" t="str">
        <x:v>Q4</x:v>
      </x:c>
      <x:c r="E286" t="str">
        <x:v>North</x:v>
      </x:c>
      <x:c r="F286" t="str">
        <x:v>Jaipur</x:v>
      </x:c>
      <x:c r="G286" t="str">
        <x:v>Neha Verma</x:v>
      </x:c>
      <x:c r="H286" t="str">
        <x:v>Accessories</x:v>
      </x:c>
      <x:c r="I286" t="str">
        <x:v>Wireless Mouse</x:v>
      </x:c>
      <x:c r="J286" t="n">
        <x:v>12</x:v>
      </x:c>
      <x:c r="K286" s="140" t="n">
        <x:v>2170</x:v>
      </x:c>
      <x:c r="L286" s="140" t="n">
        <x:v>26040</x:v>
      </x:c>
      <x:c r="M286" s="140" t="n">
        <x:v>11160</x:v>
      </x:c>
      <x:c r="N286" s="140" t="n">
        <x:v>14880</x:v>
      </x:c>
      <x:c r="O286" s="142" t="n">
        <x:v>0.5714285714285714</x:v>
      </x:c>
      <x:c r="P286" t="str">
        <x:v>New</x:v>
      </x:c>
      <x:c r="Q286" t="str">
        <x:v>Offline</x:v>
      </x:c>
      <x:c r="R286" s="140" t="n">
        <x:v>25800</x:v>
      </x:c>
      <x:c r="S286" s="142" t="n">
        <x:v>1.0093023255813953</x:v>
      </x:c>
      <x:c r="T286" s="142" t="n">
        <x:v>0.04419056515508703</x:v>
      </x:c>
      <x:c r="U286" t="str">
        <x:v>Completed</x:v>
      </x:c>
      <x:c r="V286" s="142" t="n">
        <x:v>0</x:v>
      </x:c>
      <x:c r="W286" t="n">
        <x:v>3.6</x:v>
      </x:c>
    </x:row>
    <x:row r="287">
      <x:c r="A287" t="str">
        <x:v>ORD-10286</x:v>
      </x:c>
      <x:c r="B287" s="138" t="n">
        <x:v>45923</x:v>
      </x:c>
      <x:c r="C287" t="str">
        <x:v>Sep</x:v>
      </x:c>
      <x:c r="D287" t="str">
        <x:v>Q3</x:v>
      </x:c>
      <x:c r="E287" t="str">
        <x:v>South</x:v>
      </x:c>
      <x:c r="F287" t="str">
        <x:v>Hyderabad</x:v>
      </x:c>
      <x:c r="G287" t="str">
        <x:v>Ananya Iyer</x:v>
      </x:c>
      <x:c r="H287" t="str">
        <x:v>Home</x:v>
      </x:c>
      <x:c r="I287" t="str">
        <x:v>Microwave</x:v>
      </x:c>
      <x:c r="J287" t="n">
        <x:v>10</x:v>
      </x:c>
      <x:c r="K287" s="140" t="n">
        <x:v>13570</x:v>
      </x:c>
      <x:c r="L287" s="140" t="n">
        <x:v>135700</x:v>
      </x:c>
      <x:c r="M287" s="140" t="n">
        <x:v>82500</x:v>
      </x:c>
      <x:c r="N287" s="140" t="n">
        <x:v>53200</x:v>
      </x:c>
      <x:c r="O287" s="142" t="n">
        <x:v>0.3920412675018423</x:v>
      </x:c>
      <x:c r="P287" t="str">
        <x:v>Existing</x:v>
      </x:c>
      <x:c r="Q287" t="str">
        <x:v>Offline</x:v>
      </x:c>
      <x:c r="R287" s="140" t="n">
        <x:v>156900</x:v>
      </x:c>
      <x:c r="S287" s="142" t="n">
        <x:v>0.8648820905035054</x:v>
      </x:c>
      <x:c r="T287" s="142" t="n">
        <x:v>0.010447908540599835</x:v>
      </x:c>
      <x:c r="U287" t="str">
        <x:v>Completed</x:v>
      </x:c>
      <x:c r="V287" s="142" t="n">
        <x:v>0.03</x:v>
      </x:c>
      <x:c r="W287" t="n">
        <x:v>4.8</x:v>
      </x:c>
    </x:row>
    <x:row r="288">
      <x:c r="A288" t="str">
        <x:v>ORD-10287</x:v>
      </x:c>
      <x:c r="B288" s="138" t="n">
        <x:v>45894</x:v>
      </x:c>
      <x:c r="C288" t="str">
        <x:v>Aug</x:v>
      </x:c>
      <x:c r="D288" t="str">
        <x:v>Q3</x:v>
      </x:c>
      <x:c r="E288" t="str">
        <x:v>North</x:v>
      </x:c>
      <x:c r="F288" t="str">
        <x:v>Delhi</x:v>
      </x:c>
      <x:c r="G288" t="str">
        <x:v>Arjun Malhotra</x:v>
      </x:c>
      <x:c r="H288" t="str">
        <x:v>Accessories</x:v>
      </x:c>
      <x:c r="I288" t="str">
        <x:v>Keyboard</x:v>
      </x:c>
      <x:c r="J288" t="n">
        <x:v>4</x:v>
      </x:c>
      <x:c r="K288" s="140" t="n">
        <x:v>3820</x:v>
      </x:c>
      <x:c r="L288" s="140" t="n">
        <x:v>15280</x:v>
      </x:c>
      <x:c r="M288" s="140" t="n">
        <x:v>7040</x:v>
      </x:c>
      <x:c r="N288" s="140" t="n">
        <x:v>8240</x:v>
      </x:c>
      <x:c r="O288" s="142" t="n">
        <x:v>0.5392670157068062</x:v>
      </x:c>
      <x:c r="P288" t="str">
        <x:v>Existing</x:v>
      </x:c>
      <x:c r="Q288" t="str">
        <x:v>Offline</x:v>
      </x:c>
      <x:c r="R288" s="140" t="n">
        <x:v>16400</x:v>
      </x:c>
      <x:c r="S288" s="142" t="n">
        <x:v>0.9317073170731708</x:v>
      </x:c>
      <x:c r="T288" s="142" t="n">
        <x:v>-0.018501342746667523</x:v>
      </x:c>
      <x:c r="U288" t="str">
        <x:v>Completed</x:v>
      </x:c>
      <x:c r="V288" s="142" t="n">
        <x:v>0</x:v>
      </x:c>
      <x:c r="W288" t="n">
        <x:v>3.7</x:v>
      </x:c>
    </x:row>
    <x:row r="289">
      <x:c r="A289" t="str">
        <x:v>ORD-10288</x:v>
      </x:c>
      <x:c r="B289" s="138" t="n">
        <x:v>45694</x:v>
      </x:c>
      <x:c r="C289" t="str">
        <x:v>Feb</x:v>
      </x:c>
      <x:c r="D289" t="str">
        <x:v>Q1</x:v>
      </x:c>
      <x:c r="E289" t="str">
        <x:v>East</x:v>
      </x:c>
      <x:c r="F289" t="str">
        <x:v>Kolkata</x:v>
      </x:c>
      <x:c r="G289" t="str">
        <x:v>Riya Das</x:v>
      </x:c>
      <x:c r="H289" t="str">
        <x:v>Office</x:v>
      </x:c>
      <x:c r="I289" t="str">
        <x:v>Standing Desk</x:v>
      </x:c>
      <x:c r="J289" t="n">
        <x:v>3</x:v>
      </x:c>
      <x:c r="K289" s="140" t="n">
        <x:v>20130</x:v>
      </x:c>
      <x:c r="L289" s="140" t="n">
        <x:v>60390</x:v>
      </x:c>
      <x:c r="M289" s="140" t="n">
        <x:v>41700</x:v>
      </x:c>
      <x:c r="N289" s="140" t="n">
        <x:v>18690</x:v>
      </x:c>
      <x:c r="O289" s="142" t="n">
        <x:v>0.3094883258817685</x:v>
      </x:c>
      <x:c r="P289" t="str">
        <x:v>Existing</x:v>
      </x:c>
      <x:c r="Q289" t="str">
        <x:v>Online</x:v>
      </x:c>
      <x:c r="R289" s="140" t="n">
        <x:v>56800</x:v>
      </x:c>
      <x:c r="S289" s="142" t="n">
        <x:v>1.0632042253521128</x:v>
      </x:c>
      <x:c r="T289" s="142" t="n">
        <x:v>0.1788737957897174</x:v>
      </x:c>
      <x:c r="U289" t="str">
        <x:v>Completed</x:v>
      </x:c>
      <x:c r="V289" s="142" t="n">
        <x:v>0.08</x:v>
      </x:c>
      <x:c r="W289" t="n">
        <x:v>4.1</x:v>
      </x:c>
    </x:row>
    <x:row r="290">
      <x:c r="A290" t="str">
        <x:v>ORD-10289</x:v>
      </x:c>
      <x:c r="B290" s="138" t="n">
        <x:v>45894</x:v>
      </x:c>
      <x:c r="C290" t="str">
        <x:v>Aug</x:v>
      </x:c>
      <x:c r="D290" t="str">
        <x:v>Q3</x:v>
      </x:c>
      <x:c r="E290" t="str">
        <x:v>North</x:v>
      </x:c>
      <x:c r="F290" t="str">
        <x:v>Delhi</x:v>
      </x:c>
      <x:c r="G290" t="str">
        <x:v>Neha Verma</x:v>
      </x:c>
      <x:c r="H290" t="str">
        <x:v>Home</x:v>
      </x:c>
      <x:c r="I290" t="str">
        <x:v>Air Purifier</x:v>
      </x:c>
      <x:c r="J290" t="n">
        <x:v>1</x:v>
      </x:c>
      <x:c r="K290" s="140" t="n">
        <x:v>16240</x:v>
      </x:c>
      <x:c r="L290" s="140" t="n">
        <x:v>16240</x:v>
      </x:c>
      <x:c r="M290" s="140" t="n">
        <x:v>10400</x:v>
      </x:c>
      <x:c r="N290" s="140" t="n">
        <x:v>5840</x:v>
      </x:c>
      <x:c r="O290" s="142" t="n">
        <x:v>0.35960591133004927</x:v>
      </x:c>
      <x:c r="P290" t="str">
        <x:v>Existing</x:v>
      </x:c>
      <x:c r="Q290" t="str">
        <x:v>Online</x:v>
      </x:c>
      <x:c r="R290" s="140" t="n">
        <x:v>18400</x:v>
      </x:c>
      <x:c r="S290" s="142" t="n">
        <x:v>0.8826086956521739</x:v>
      </x:c>
      <x:c r="T290" s="142" t="n">
        <x:v>0.10969902979326056</x:v>
      </x:c>
      <x:c r="U290" t="str">
        <x:v>Completed</x:v>
      </x:c>
      <x:c r="V290" s="142" t="n">
        <x:v>0</x:v>
      </x:c>
      <x:c r="W290" t="n">
        <x:v>4.2</x:v>
      </x:c>
    </x:row>
    <x:row r="291">
      <x:c r="A291" t="str">
        <x:v>ORD-10290</x:v>
      </x:c>
      <x:c r="B291" s="138" t="n">
        <x:v>45691</x:v>
      </x:c>
      <x:c r="C291" t="str">
        <x:v>Feb</x:v>
      </x:c>
      <x:c r="D291" t="str">
        <x:v>Q1</x:v>
      </x:c>
      <x:c r="E291" t="str">
        <x:v>North</x:v>
      </x:c>
      <x:c r="F291" t="str">
        <x:v>Delhi</x:v>
      </x:c>
      <x:c r="G291" t="str">
        <x:v>Arjun Malhotra</x:v>
      </x:c>
      <x:c r="H291" t="str">
        <x:v>Electronics</x:v>
      </x:c>
      <x:c r="I291" t="str">
        <x:v>Laptop Pro</x:v>
      </x:c>
      <x:c r="J291" t="n">
        <x:v>3</x:v>
      </x:c>
      <x:c r="K291" s="140" t="n">
        <x:v>68690</x:v>
      </x:c>
      <x:c r="L291" s="140" t="n">
        <x:v>206070</x:v>
      </x:c>
      <x:c r="M291" s="140" t="n">
        <x:v>157500</x:v>
      </x:c>
      <x:c r="N291" s="140" t="n">
        <x:v>48570</x:v>
      </x:c>
      <x:c r="O291" s="142" t="n">
        <x:v>0.23569660794875527</x:v>
      </x:c>
      <x:c r="P291" t="str">
        <x:v>Existing</x:v>
      </x:c>
      <x:c r="Q291" t="str">
        <x:v>Offline</x:v>
      </x:c>
      <x:c r="R291" s="140" t="n">
        <x:v>220600</x:v>
      </x:c>
      <x:c r="S291" s="142" t="n">
        <x:v>0.9341341795104261</x:v>
      </x:c>
      <x:c r="T291" s="142" t="n">
        <x:v>0.14032852379348132</x:v>
      </x:c>
      <x:c r="U291" t="str">
        <x:v>Completed</x:v>
      </x:c>
      <x:c r="V291" s="142" t="n">
        <x:v>0.05</x:v>
      </x:c>
      <x:c r="W291" t="n">
        <x:v>4.5</x:v>
      </x:c>
    </x:row>
    <x:row r="292">
      <x:c r="A292" t="str">
        <x:v>ORD-10291</x:v>
      </x:c>
      <x:c r="B292" s="138" t="n">
        <x:v>45735</x:v>
      </x:c>
      <x:c r="C292" t="str">
        <x:v>Mar</x:v>
      </x:c>
      <x:c r="D292" t="str">
        <x:v>Q1</x:v>
      </x:c>
      <x:c r="E292" t="str">
        <x:v>East</x:v>
      </x:c>
      <x:c r="F292" t="str">
        <x:v>Kolkata</x:v>
      </x:c>
      <x:c r="G292" t="str">
        <x:v>Aarav Sen</x:v>
      </x:c>
      <x:c r="H292" t="str">
        <x:v>Accessories</x:v>
      </x:c>
      <x:c r="I292" t="str">
        <x:v>Headphones</x:v>
      </x:c>
      <x:c r="J292" t="n">
        <x:v>7</x:v>
      </x:c>
      <x:c r="K292" s="140" t="n">
        <x:v>5660</x:v>
      </x:c>
      <x:c r="L292" s="140" t="n">
        <x:v>39620</x:v>
      </x:c>
      <x:c r="M292" s="140" t="n">
        <x:v>20440</x:v>
      </x:c>
      <x:c r="N292" s="140" t="n">
        <x:v>19180</x:v>
      </x:c>
      <x:c r="O292" s="142" t="n">
        <x:v>0.4840989399293286</x:v>
      </x:c>
      <x:c r="P292" t="str">
        <x:v>New</x:v>
      </x:c>
      <x:c r="Q292" t="str">
        <x:v>Offline</x:v>
      </x:c>
      <x:c r="R292" s="140" t="n">
        <x:v>40500</x:v>
      </x:c>
      <x:c r="S292" s="142" t="n">
        <x:v>0.9782716049382716</x:v>
      </x:c>
      <x:c r="T292" s="142" t="n">
        <x:v>-0.007209821851533335</x:v>
      </x:c>
      <x:c r="U292" t="str">
        <x:v>Completed</x:v>
      </x:c>
      <x:c r="V292" s="142" t="n">
        <x:v>0</x:v>
      </x:c>
      <x:c r="W292" t="n">
        <x:v>3.8</x:v>
      </x:c>
    </x:row>
    <x:row r="293">
      <x:c r="A293" t="str">
        <x:v>ORD-10292</x:v>
      </x:c>
      <x:c r="B293" s="138" t="n">
        <x:v>45753</x:v>
      </x:c>
      <x:c r="C293" t="str">
        <x:v>Apr</x:v>
      </x:c>
      <x:c r="D293" t="str">
        <x:v>Q2</x:v>
      </x:c>
      <x:c r="E293" t="str">
        <x:v>North</x:v>
      </x:c>
      <x:c r="F293" t="str">
        <x:v>Delhi</x:v>
      </x:c>
      <x:c r="G293" t="str">
        <x:v>Neha Verma</x:v>
      </x:c>
      <x:c r="H293" t="str">
        <x:v>Office</x:v>
      </x:c>
      <x:c r="I293" t="str">
        <x:v>Standing Desk</x:v>
      </x:c>
      <x:c r="J293" t="n">
        <x:v>14</x:v>
      </x:c>
      <x:c r="K293" s="140" t="n">
        <x:v>20100</x:v>
      </x:c>
      <x:c r="L293" s="140" t="n">
        <x:v>281400</x:v>
      </x:c>
      <x:c r="M293" s="140" t="n">
        <x:v>194600</x:v>
      </x:c>
      <x:c r="N293" s="140" t="n">
        <x:v>86800</x:v>
      </x:c>
      <x:c r="O293" s="142" t="n">
        <x:v>0.30845771144278605</x:v>
      </x:c>
      <x:c r="P293" t="str">
        <x:v>Existing</x:v>
      </x:c>
      <x:c r="Q293" t="str">
        <x:v>Online</x:v>
      </x:c>
      <x:c r="R293" s="140" t="n">
        <x:v>292000</x:v>
      </x:c>
      <x:c r="S293" s="142" t="n">
        <x:v>0.9636986301369863</x:v>
      </x:c>
      <x:c r="T293" s="142" t="n">
        <x:v>0.1867421426689418</x:v>
      </x:c>
      <x:c r="U293" t="str">
        <x:v>Completed</x:v>
      </x:c>
      <x:c r="V293" s="142" t="n">
        <x:v>0.03</x:v>
      </x:c>
      <x:c r="W293" t="n">
        <x:v>3.6</x:v>
      </x:c>
    </x:row>
    <x:row r="294">
      <x:c r="A294" t="str">
        <x:v>ORD-10293</x:v>
      </x:c>
      <x:c r="B294" s="138" t="n">
        <x:v>45668</x:v>
      </x:c>
      <x:c r="C294" t="str">
        <x:v>Jan</x:v>
      </x:c>
      <x:c r="D294" t="str">
        <x:v>Q1</x:v>
      </x:c>
      <x:c r="E294" t="str">
        <x:v>South</x:v>
      </x:c>
      <x:c r="F294" t="str">
        <x:v>Bengaluru</x:v>
      </x:c>
      <x:c r="G294" t="str">
        <x:v>Vikram Rao</x:v>
      </x:c>
      <x:c r="H294" t="str">
        <x:v>Accessories</x:v>
      </x:c>
      <x:c r="I294" t="str">
        <x:v>Wireless Mouse</x:v>
      </x:c>
      <x:c r="J294" t="n">
        <x:v>9</x:v>
      </x:c>
      <x:c r="K294" s="140" t="n">
        <x:v>1930</x:v>
      </x:c>
      <x:c r="L294" s="140" t="n">
        <x:v>17370</x:v>
      </x:c>
      <x:c r="M294" s="140" t="n">
        <x:v>8370</x:v>
      </x:c>
      <x:c r="N294" s="140" t="n">
        <x:v>9000</x:v>
      </x:c>
      <x:c r="O294" s="142" t="n">
        <x:v>0.5181347150259067</x:v>
      </x:c>
      <x:c r="P294" t="str">
        <x:v>Existing</x:v>
      </x:c>
      <x:c r="Q294" t="str">
        <x:v>Offline</x:v>
      </x:c>
      <x:c r="R294" s="140" t="n">
        <x:v>20400</x:v>
      </x:c>
      <x:c r="S294" s="142" t="n">
        <x:v>0.8514705882352941</x:v>
      </x:c>
      <x:c r="T294" s="142" t="n">
        <x:v>-0.026320530042380975</x:v>
      </x:c>
      <x:c r="U294" t="str">
        <x:v>Completed</x:v>
      </x:c>
      <x:c r="V294" s="142" t="n">
        <x:v>0.08</x:v>
      </x:c>
      <x:c r="W294" t="n">
        <x:v>3.9</x:v>
      </x:c>
    </x:row>
    <x:row r="295">
      <x:c r="A295" t="str">
        <x:v>ORD-10294</x:v>
      </x:c>
      <x:c r="B295" s="138" t="n">
        <x:v>45681</x:v>
      </x:c>
      <x:c r="C295" t="str">
        <x:v>Jan</x:v>
      </x:c>
      <x:c r="D295" t="str">
        <x:v>Q1</x:v>
      </x:c>
      <x:c r="E295" t="str">
        <x:v>West</x:v>
      </x:c>
      <x:c r="F295" t="str">
        <x:v>Pune</x:v>
      </x:c>
      <x:c r="G295" t="str">
        <x:v>Meera Patel</x:v>
      </x:c>
      <x:c r="H295" t="str">
        <x:v>Accessories</x:v>
      </x:c>
      <x:c r="I295" t="str">
        <x:v>Headphones</x:v>
      </x:c>
      <x:c r="J295" t="n">
        <x:v>11</x:v>
      </x:c>
      <x:c r="K295" s="140" t="n">
        <x:v>5390</x:v>
      </x:c>
      <x:c r="L295" s="140" t="n">
        <x:v>59290</x:v>
      </x:c>
      <x:c r="M295" s="140" t="n">
        <x:v>32120</x:v>
      </x:c>
      <x:c r="N295" s="140" t="n">
        <x:v>27170</x:v>
      </x:c>
      <x:c r="O295" s="142" t="n">
        <x:v>0.4582560296846011</x:v>
      </x:c>
      <x:c r="P295" t="str">
        <x:v>New</x:v>
      </x:c>
      <x:c r="Q295" t="str">
        <x:v>Offline</x:v>
      </x:c>
      <x:c r="R295" s="140" t="n">
        <x:v>66000</x:v>
      </x:c>
      <x:c r="S295" s="142" t="n">
        <x:v>0.8983333333333333</x:v>
      </x:c>
      <x:c r="T295" s="142" t="n">
        <x:v>0.1604157630908496</x:v>
      </x:c>
      <x:c r="U295" t="str">
        <x:v>Completed</x:v>
      </x:c>
      <x:c r="V295" s="142" t="n">
        <x:v>0.05</x:v>
      </x:c>
      <x:c r="W295" t="n">
        <x:v>4.1</x:v>
      </x:c>
    </x:row>
    <x:row r="296">
      <x:c r="A296" t="str">
        <x:v>ORD-10295</x:v>
      </x:c>
      <x:c r="B296" s="138" t="n">
        <x:v>45834</x:v>
      </x:c>
      <x:c r="C296" t="str">
        <x:v>Jun</x:v>
      </x:c>
      <x:c r="D296" t="str">
        <x:v>Q2</x:v>
      </x:c>
      <x:c r="E296" t="str">
        <x:v>North</x:v>
      </x:c>
      <x:c r="F296" t="str">
        <x:v>Delhi</x:v>
      </x:c>
      <x:c r="G296" t="str">
        <x:v>Arjun Malhotra</x:v>
      </x:c>
      <x:c r="H296" t="str">
        <x:v>Office</x:v>
      </x:c>
      <x:c r="I296" t="str">
        <x:v>Laser Printer</x:v>
      </x:c>
      <x:c r="J296" t="n">
        <x:v>3</x:v>
      </x:c>
      <x:c r="K296" s="140" t="n">
        <x:v>19050</x:v>
      </x:c>
      <x:c r="L296" s="140" t="n">
        <x:v>57150</x:v>
      </x:c>
      <x:c r="M296" s="140" t="n">
        <x:v>37800</x:v>
      </x:c>
      <x:c r="N296" s="140" t="n">
        <x:v>19350</x:v>
      </x:c>
      <x:c r="O296" s="142" t="n">
        <x:v>0.33858267716535434</x:v>
      </x:c>
      <x:c r="P296" t="str">
        <x:v>Existing</x:v>
      </x:c>
      <x:c r="Q296" t="str">
        <x:v>Online</x:v>
      </x:c>
      <x:c r="R296" s="140" t="n">
        <x:v>63500</x:v>
      </x:c>
      <x:c r="S296" s="142" t="n">
        <x:v>0.9</x:v>
      </x:c>
      <x:c r="T296" s="142" t="n">
        <x:v>-0.03128424597723057</x:v>
      </x:c>
      <x:c r="U296" t="str">
        <x:v>Completed</x:v>
      </x:c>
      <x:c r="V296" s="142" t="n">
        <x:v>0</x:v>
      </x:c>
      <x:c r="W296" t="n">
        <x:v>3.5</x:v>
      </x:c>
    </x:row>
    <x:row r="297">
      <x:c r="A297" t="str">
        <x:v>ORD-10296</x:v>
      </x:c>
      <x:c r="B297" s="138" t="n">
        <x:v>45727</x:v>
      </x:c>
      <x:c r="C297" t="str">
        <x:v>Mar</x:v>
      </x:c>
      <x:c r="D297" t="str">
        <x:v>Q1</x:v>
      </x:c>
      <x:c r="E297" t="str">
        <x:v>West</x:v>
      </x:c>
      <x:c r="F297" t="str">
        <x:v>Pune</x:v>
      </x:c>
      <x:c r="G297" t="str">
        <x:v>Kabir Shah</x:v>
      </x:c>
      <x:c r="H297" t="str">
        <x:v>Home</x:v>
      </x:c>
      <x:c r="I297" t="str">
        <x:v>Vacuum Cleaner</x:v>
      </x:c>
      <x:c r="J297" t="n">
        <x:v>12</x:v>
      </x:c>
      <x:c r="K297" s="140" t="n">
        <x:v>11320</x:v>
      </x:c>
      <x:c r="L297" s="140" t="n">
        <x:v>135840</x:v>
      </x:c>
      <x:c r="M297" s="140" t="n">
        <x:v>85200</x:v>
      </x:c>
      <x:c r="N297" s="140" t="n">
        <x:v>50640</x:v>
      </x:c>
      <x:c r="O297" s="142" t="n">
        <x:v>0.37279151943462896</x:v>
      </x:c>
      <x:c r="P297" t="str">
        <x:v>Existing</x:v>
      </x:c>
      <x:c r="Q297" t="str">
        <x:v>Offline</x:v>
      </x:c>
      <x:c r="R297" s="140" t="n">
        <x:v>142400</x:v>
      </x:c>
      <x:c r="S297" s="142" t="n">
        <x:v>0.9539325842696629</x:v>
      </x:c>
      <x:c r="T297" s="142" t="n">
        <x:v>0.1983401515335843</x:v>
      </x:c>
      <x:c r="U297" t="str">
        <x:v>Completed</x:v>
      </x:c>
      <x:c r="V297" s="142" t="n">
        <x:v>0.05</x:v>
      </x:c>
      <x:c r="W297" t="n">
        <x:v>4.6</x:v>
      </x:c>
    </x:row>
    <x:row r="298">
      <x:c r="A298" t="str">
        <x:v>ORD-10297</x:v>
      </x:c>
      <x:c r="B298" s="138" t="n">
        <x:v>45756</x:v>
      </x:c>
      <x:c r="C298" t="str">
        <x:v>Apr</x:v>
      </x:c>
      <x:c r="D298" t="str">
        <x:v>Q2</x:v>
      </x:c>
      <x:c r="E298" t="str">
        <x:v>West</x:v>
      </x:c>
      <x:c r="F298" t="str">
        <x:v>Pune</x:v>
      </x:c>
      <x:c r="G298" t="str">
        <x:v>Meera Patel</x:v>
      </x:c>
      <x:c r="H298" t="str">
        <x:v>Accessories</x:v>
      </x:c>
      <x:c r="I298" t="str">
        <x:v>Wireless Mouse</x:v>
      </x:c>
      <x:c r="J298" t="n">
        <x:v>7</x:v>
      </x:c>
      <x:c r="K298" s="140" t="n">
        <x:v>2050</x:v>
      </x:c>
      <x:c r="L298" s="140" t="n">
        <x:v>14350</x:v>
      </x:c>
      <x:c r="M298" s="140" t="n">
        <x:v>6510</x:v>
      </x:c>
      <x:c r="N298" s="140" t="n">
        <x:v>7840</x:v>
      </x:c>
      <x:c r="O298" s="142" t="n">
        <x:v>0.5463414634146342</x:v>
      </x:c>
      <x:c r="P298" t="str">
        <x:v>New</x:v>
      </x:c>
      <x:c r="Q298" t="str">
        <x:v>Online</x:v>
      </x:c>
      <x:c r="R298" s="140" t="n">
        <x:v>14900</x:v>
      </x:c>
      <x:c r="S298" s="142" t="n">
        <x:v>0.9630872483221476</x:v>
      </x:c>
      <x:c r="T298" s="142" t="n">
        <x:v>0.12152879211623711</x:v>
      </x:c>
      <x:c r="U298" t="str">
        <x:v>Completed</x:v>
      </x:c>
      <x:c r="V298" s="142" t="n">
        <x:v>0.05</x:v>
      </x:c>
      <x:c r="W298" t="n">
        <x:v>3.6</x:v>
      </x:c>
    </x:row>
    <x:row r="299">
      <x:c r="A299" t="str">
        <x:v>ORD-10298</x:v>
      </x:c>
      <x:c r="B299" s="138" t="n">
        <x:v>46009</x:v>
      </x:c>
      <x:c r="C299" t="str">
        <x:v>Dec</x:v>
      </x:c>
      <x:c r="D299" t="str">
        <x:v>Q4</x:v>
      </x:c>
      <x:c r="E299" t="str">
        <x:v>West</x:v>
      </x:c>
      <x:c r="F299" t="str">
        <x:v>Ahmedabad</x:v>
      </x:c>
      <x:c r="G299" t="str">
        <x:v>Meera Patel</x:v>
      </x:c>
      <x:c r="H299" t="str">
        <x:v>Electronics</x:v>
      </x:c>
      <x:c r="I299" t="str">
        <x:v>Laptop Pro</x:v>
      </x:c>
      <x:c r="J299" t="n">
        <x:v>15</x:v>
      </x:c>
      <x:c r="K299" s="140" t="n">
        <x:v>68760</x:v>
      </x:c>
      <x:c r="L299" s="140" t="n">
        <x:v>1031400</x:v>
      </x:c>
      <x:c r="M299" s="140" t="n">
        <x:v>787500</x:v>
      </x:c>
      <x:c r="N299" s="140" t="n">
        <x:v>243900</x:v>
      </x:c>
      <x:c r="O299" s="142" t="n">
        <x:v>0.23647469458987783</x:v>
      </x:c>
      <x:c r="P299" t="str">
        <x:v>New</x:v>
      </x:c>
      <x:c r="Q299" t="str">
        <x:v>Offline</x:v>
      </x:c>
      <x:c r="R299" s="140" t="n">
        <x:v>982400</x:v>
      </x:c>
      <x:c r="S299" s="142" t="n">
        <x:v>1.0498778501628665</x:v>
      </x:c>
      <x:c r="T299" s="142" t="n">
        <x:v>0.12462458826579804</x:v>
      </x:c>
      <x:c r="U299" t="str">
        <x:v>Completed</x:v>
      </x:c>
      <x:c r="V299" s="142" t="n">
        <x:v>0.08</x:v>
      </x:c>
      <x:c r="W299" t="n">
        <x:v>4.9</x:v>
      </x:c>
    </x:row>
    <x:row r="300">
      <x:c r="A300" t="str">
        <x:v>ORD-10299</x:v>
      </x:c>
      <x:c r="B300" s="138" t="n">
        <x:v>46010</x:v>
      </x:c>
      <x:c r="C300" t="str">
        <x:v>Dec</x:v>
      </x:c>
      <x:c r="D300" t="str">
        <x:v>Q4</x:v>
      </x:c>
      <x:c r="E300" t="str">
        <x:v>West</x:v>
      </x:c>
      <x:c r="F300" t="str">
        <x:v>Pune</x:v>
      </x:c>
      <x:c r="G300" t="str">
        <x:v>Meera Patel</x:v>
      </x:c>
      <x:c r="H300" t="str">
        <x:v>Accessories</x:v>
      </x:c>
      <x:c r="I300" t="str">
        <x:v>Keyboard</x:v>
      </x:c>
      <x:c r="J300" t="n">
        <x:v>15</x:v>
      </x:c>
      <x:c r="K300" s="140" t="n">
        <x:v>4090</x:v>
      </x:c>
      <x:c r="L300" s="140" t="n">
        <x:v>61350</x:v>
      </x:c>
      <x:c r="M300" s="140" t="n">
        <x:v>26400</x:v>
      </x:c>
      <x:c r="N300" s="140" t="n">
        <x:v>34950</x:v>
      </x:c>
      <x:c r="O300" s="142" t="n">
        <x:v>0.5696821515892421</x:v>
      </x:c>
      <x:c r="P300" t="str">
        <x:v>New</x:v>
      </x:c>
      <x:c r="Q300" t="str">
        <x:v>Offline</x:v>
      </x:c>
      <x:c r="R300" s="140" t="n">
        <x:v>68100</x:v>
      </x:c>
      <x:c r="S300" s="142" t="n">
        <x:v>0.9008810572687225</x:v>
      </x:c>
      <x:c r="T300" s="142" t="n">
        <x:v>0.016800647861595006</x:v>
      </x:c>
      <x:c r="U300" t="str">
        <x:v>Completed</x:v>
      </x:c>
      <x:c r="V300" s="142" t="n">
        <x:v>0</x:v>
      </x:c>
      <x:c r="W300" t="n">
        <x:v>4.4</x:v>
      </x:c>
    </x:row>
    <x:row r="301">
      <x:c r="A301" t="str">
        <x:v>ORD-10300</x:v>
      </x:c>
      <x:c r="B301" s="138" t="n">
        <x:v>45741</x:v>
      </x:c>
      <x:c r="C301" t="str">
        <x:v>Mar</x:v>
      </x:c>
      <x:c r="D301" t="str">
        <x:v>Q1</x:v>
      </x:c>
      <x:c r="E301" t="str">
        <x:v>West</x:v>
      </x:c>
      <x:c r="F301" t="str">
        <x:v>Ahmedabad</x:v>
      </x:c>
      <x:c r="G301" t="str">
        <x:v>Kabir Shah</x:v>
      </x:c>
      <x:c r="H301" t="str">
        <x:v>Accessories</x:v>
      </x:c>
      <x:c r="I301" t="str">
        <x:v>Keyboard</x:v>
      </x:c>
      <x:c r="J301" t="n">
        <x:v>7</x:v>
      </x:c>
      <x:c r="K301" s="140" t="n">
        <x:v>3890</x:v>
      </x:c>
      <x:c r="L301" s="140" t="n">
        <x:v>27230</x:v>
      </x:c>
      <x:c r="M301" s="140" t="n">
        <x:v>12320</x:v>
      </x:c>
      <x:c r="N301" s="140" t="n">
        <x:v>14910</x:v>
      </x:c>
      <x:c r="O301" s="142" t="n">
        <x:v>0.5475578406169666</x:v>
      </x:c>
      <x:c r="P301" t="str">
        <x:v>New</x:v>
      </x:c>
      <x:c r="Q301" t="str">
        <x:v>Offline</x:v>
      </x:c>
      <x:c r="R301" s="140" t="n">
        <x:v>27100</x:v>
      </x:c>
      <x:c r="S301" s="142" t="n">
        <x:v>1.0047970479704798</x:v>
      </x:c>
      <x:c r="T301" s="142" t="n">
        <x:v>-0.03321126773289838</x:v>
      </x:c>
      <x:c r="U301" t="str">
        <x:v>Completed</x:v>
      </x:c>
      <x:c r="V301" s="142" t="n">
        <x:v>0</x:v>
      </x:c>
      <x:c r="W301" t="n">
        <x:v>3.7</x:v>
      </x:c>
    </x:row>
  </x:sheetData>
  <x:conditionalFormatting sqref="S2:S301">
    <x:cfRule type="colorScale" priority="1">
      <x:colorScale>
        <x:cfvo type="min"/>
        <x:cfvo type="percentile" val="50"/>
        <x:cfvo type="max"/>
        <x:color rgb="FF7F1D1D"/>
        <x:color rgb="FFB45309"/>
        <x:color rgb="FF16653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b59497b2caf4159"/>
  </x:tableParts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Regions</x:v>
      </x:c>
      <x:c r="B1" t="str">
        <x:v>Channels</x:v>
      </x:c>
      <x:c r="C1" t="str">
        <x:v>Customer Types</x:v>
      </x:c>
      <x:c r="D1" t="str">
        <x:v>Statuses</x:v>
      </x:c>
    </x:row>
    <x:row r="2">
      <x:c r="A2" t="str">
        <x:v>East</x:v>
      </x:c>
      <x:c r="B2" t="str">
        <x:v>Online</x:v>
      </x:c>
      <x:c r="C2" t="str">
        <x:v>New</x:v>
      </x:c>
      <x:c r="D2" t="str">
        <x:v>Completed</x:v>
      </x:c>
    </x:row>
    <x:row r="3">
      <x:c r="A3" t="str">
        <x:v>West</x:v>
      </x:c>
      <x:c r="B3" t="str">
        <x:v>Offline</x:v>
      </x:c>
      <x:c r="C3" t="str">
        <x:v>Existing</x:v>
      </x:c>
      <x:c r="D3" t="str">
        <x:v>Pending</x:v>
      </x:c>
    </x:row>
    <x:row r="4">
      <x:c r="A4" t="str">
        <x:v>North</x:v>
      </x:c>
      <x:c r="B4"/>
      <x:c r="C4"/>
      <x:c r="D4" t="str">
        <x:v>Cancelled</x:v>
      </x:c>
    </x:row>
    <x:row r="5">
      <x:c r="A5" t="str">
        <x:v>South</x:v>
      </x:c>
      <x:c r="B5"/>
      <x:c r="C5"/>
      <x:c r="D5"/>
    </x:row>
    <x:row r="6">
      <x:c r="A6"/>
      <x:c r="B6"/>
      <x:c r="C6"/>
      <x:c r="D6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258"/>
      <x:c r="B1" s="258"/>
      <x:c r="C1" s="258"/>
      <x:c r="D1" s="239"/>
      <x:c r="E1" s="239"/>
      <x:c r="F1" s="239"/>
      <x:c r="G1" s="239"/>
      <x:c r="H1" s="239"/>
      <x:c r="I1" s="239"/>
      <x:c r="J1" s="239"/>
      <x:c r="K1" s="239"/>
      <x:c r="L1" s="239"/>
      <x:c r="M1" s="239"/>
      <x:c r="N1" s="239"/>
      <x:c r="O1" s="239"/>
      <x:c r="P1" s="239"/>
      <x:c r="Q1" s="239"/>
    </x:row>
    <x:row r="2" ht="22" customHeight="1">
      <x:c r="A2" s="263" t="str">
        <x:v>SalesIQ</x:v>
      </x:c>
      <x:c r="B2" s="263"/>
      <x:c r="C2" s="263"/>
      <x:c r="D2" s="239"/>
      <x:c r="E2" s="241" t="str">
        <x:v>AI-Style Business Insights</x:v>
      </x:c>
      <x:c r="F2" s="241"/>
      <x:c r="G2" s="241"/>
      <x:c r="H2" s="241"/>
      <x:c r="I2" s="241"/>
      <x:c r="J2" s="241"/>
      <x:c r="K2" s="241"/>
      <x:c r="L2" s="241"/>
      <x:c r="M2" s="241"/>
      <x:c r="N2" s="241"/>
      <x:c r="O2" s="241"/>
      <x:c r="P2" s="241"/>
      <x:c r="Q2" s="239"/>
    </x:row>
    <x:row r="3" ht="22" customHeight="1">
      <x:c r="A3" s="263"/>
      <x:c r="B3" s="263"/>
      <x:c r="C3" s="263"/>
      <x:c r="D3" s="239"/>
      <x:c r="E3" s="241"/>
      <x:c r="F3" s="241"/>
      <x:c r="G3" s="241"/>
      <x:c r="H3" s="241"/>
      <x:c r="I3" s="241"/>
      <x:c r="J3" s="241"/>
      <x:c r="K3" s="241"/>
      <x:c r="L3" s="241"/>
      <x:c r="M3" s="241"/>
      <x:c r="N3" s="241"/>
      <x:c r="O3" s="241"/>
      <x:c r="P3" s="241"/>
      <x:c r="Q3" s="239"/>
    </x:row>
    <x:row r="4" ht="22" customHeight="1">
      <x:c r="A4" s="263"/>
      <x:c r="B4" s="263"/>
      <x:c r="C4" s="263"/>
      <x:c r="D4" s="239"/>
      <x:c r="E4" s="239"/>
      <x:c r="F4" s="239"/>
      <x:c r="G4" s="239"/>
      <x:c r="H4" s="239"/>
      <x:c r="I4" s="239"/>
      <x:c r="J4" s="239"/>
      <x:c r="K4" s="239"/>
      <x:c r="L4" s="239"/>
      <x:c r="M4" s="239"/>
      <x:c r="N4" s="239"/>
      <x:c r="O4" s="239"/>
      <x:c r="P4" s="239"/>
      <x:c r="Q4" s="239"/>
    </x:row>
    <x:row r="5" ht="22" customHeight="1">
      <x:c r="A5" s="263"/>
      <x:c r="B5" s="263"/>
      <x:c r="C5" s="263"/>
      <x:c r="D5" s="239"/>
      <x:c r="E5" s="349" t="str">
        <x:v>Rule-based automated recommendations generated from live Excel metrics — no external AI service required.</x:v>
      </x:c>
      <x:c r="F5" s="349"/>
      <x:c r="G5" s="349"/>
      <x:c r="H5" s="349"/>
      <x:c r="I5" s="349"/>
      <x:c r="J5" s="349"/>
      <x:c r="K5" s="349"/>
      <x:c r="L5" s="349"/>
      <x:c r="M5" s="349"/>
      <x:c r="N5" s="349"/>
      <x:c r="O5" s="349"/>
      <x:c r="P5" s="349"/>
      <x:c r="Q5" s="239"/>
    </x:row>
    <x:row r="6" ht="22" customHeight="1">
      <x:c r="A6" s="258"/>
      <x:c r="B6" s="258"/>
      <x:c r="C6" s="258"/>
      <x:c r="D6" s="239"/>
      <x:c r="E6" s="349"/>
      <x:c r="F6" s="349"/>
      <x:c r="G6" s="349"/>
      <x:c r="H6" s="349"/>
      <x:c r="I6" s="349"/>
      <x:c r="J6" s="349"/>
      <x:c r="K6" s="349"/>
      <x:c r="L6" s="349"/>
      <x:c r="M6" s="349"/>
      <x:c r="N6" s="349"/>
      <x:c r="O6" s="349"/>
      <x:c r="P6" s="349"/>
      <x:c r="Q6" s="239"/>
    </x:row>
    <x:row r="7" ht="22" customHeight="1">
      <x:c r="A7" s="265" t="str">
        <x:v>Home</x:v>
      </x:c>
      <x:c r="B7" s="265"/>
      <x:c r="C7" s="265"/>
      <x:c r="D7" s="239"/>
      <x:c r="E7" s="239"/>
      <x:c r="F7" s="239"/>
      <x:c r="G7" s="239"/>
      <x:c r="H7" s="239"/>
      <x:c r="I7" s="239"/>
      <x:c r="J7" s="239"/>
      <x:c r="K7" s="239"/>
      <x:c r="L7" s="239"/>
      <x:c r="M7" s="239"/>
      <x:c r="N7" s="239"/>
      <x:c r="O7" s="239"/>
      <x:c r="P7" s="239"/>
      <x:c r="Q7" s="239"/>
    </x:row>
    <x:row r="8" ht="22" customHeight="1">
      <x:c r="A8" s="265"/>
      <x:c r="B8" s="265"/>
      <x:c r="C8" s="265"/>
      <x:c r="D8" s="239"/>
      <x:c r="E8" s="352" t="str">
        <x:f>"REVENUE SIGNAL"&amp;CHAR(10)&amp;CHAR(10)&amp;"Current revenue: ₹"&amp;ROUND(SUM(RAW_DATA!L2:L301),0)&amp;CHAR(10)&amp;"Latest monthly trend is "&amp;IF(Forecast!G17&gt;=0,"positive","negative")&amp;"."</x:f>
        <x:v>REVENUE SIGNAL
Current revenue: ₹43267710
Latest monthly trend is positive.</x:v>
      </x:c>
      <x:c r="F8" s="352"/>
      <x:c r="G8" s="352"/>
      <x:c r="H8" s="352"/>
      <x:c r="I8" s="352"/>
      <x:c r="J8" s="239"/>
      <x:c r="K8" s="357" t="str">
        <x:f>"TARGET SIGNAL"&amp;CHAR(10)&amp;CHAR(10)&amp;IF(SUM(RAW_DATA!L2:L301)/SUM(RAW_DATA!R2:R301)&gt;=1,"Overall sales target is achieved.","Overall sales target is below plan.")&amp;CHAR(10)&amp;"Focus on weaker regions if below target."</x:f>
        <x:v>TARGET SIGNAL
Overall sales target is below plan.
Focus on weaker regions if below target.</x:v>
      </x:c>
      <x:c r="L8" s="357"/>
      <x:c r="M8" s="357"/>
      <x:c r="N8" s="357"/>
      <x:c r="O8" s="357"/>
      <x:c r="P8" s="357"/>
      <x:c r="Q8" s="239"/>
    </x:row>
    <x:row r="9" ht="22" customHeight="1">
      <x:c r="A9" s="258"/>
      <x:c r="B9" s="258"/>
      <x:c r="C9" s="258"/>
      <x:c r="D9" s="239"/>
      <x:c r="E9" s="352"/>
      <x:c r="F9" s="352"/>
      <x:c r="G9" s="352"/>
      <x:c r="H9" s="352"/>
      <x:c r="I9" s="352"/>
      <x:c r="J9" s="239"/>
      <x:c r="K9" s="357"/>
      <x:c r="L9" s="357"/>
      <x:c r="M9" s="357"/>
      <x:c r="N9" s="357"/>
      <x:c r="O9" s="357"/>
      <x:c r="P9" s="357"/>
      <x:c r="Q9" s="239"/>
    </x:row>
    <x:row r="10" ht="22" customHeight="1">
      <x:c r="A10" s="265" t="str">
        <x:v>Dashboard</x:v>
      </x:c>
      <x:c r="B10" s="265"/>
      <x:c r="C10" s="265"/>
      <x:c r="D10" s="239"/>
      <x:c r="E10" s="352"/>
      <x:c r="F10" s="352"/>
      <x:c r="G10" s="352"/>
      <x:c r="H10" s="352"/>
      <x:c r="I10" s="352"/>
      <x:c r="J10" s="239"/>
      <x:c r="K10" s="357"/>
      <x:c r="L10" s="357"/>
      <x:c r="M10" s="357"/>
      <x:c r="N10" s="357"/>
      <x:c r="O10" s="357"/>
      <x:c r="P10" s="357"/>
      <x:c r="Q10" s="239"/>
    </x:row>
    <x:row r="11" ht="22" customHeight="1">
      <x:c r="A11" s="265"/>
      <x:c r="B11" s="265"/>
      <x:c r="C11" s="265"/>
      <x:c r="D11" s="239"/>
      <x:c r="E11" s="352"/>
      <x:c r="F11" s="352"/>
      <x:c r="G11" s="352"/>
      <x:c r="H11" s="352"/>
      <x:c r="I11" s="352"/>
      <x:c r="J11" s="239"/>
      <x:c r="K11" s="357"/>
      <x:c r="L11" s="357"/>
      <x:c r="M11" s="357"/>
      <x:c r="N11" s="357"/>
      <x:c r="O11" s="357"/>
      <x:c r="P11" s="357"/>
      <x:c r="Q11" s="239"/>
    </x:row>
    <x:row r="12" ht="22" customHeight="1">
      <x:c r="A12" s="258"/>
      <x:c r="B12" s="258"/>
      <x:c r="C12" s="258"/>
      <x:c r="D12" s="239"/>
      <x:c r="E12" s="352"/>
      <x:c r="F12" s="352"/>
      <x:c r="G12" s="352"/>
      <x:c r="H12" s="352"/>
      <x:c r="I12" s="352"/>
      <x:c r="J12" s="239"/>
      <x:c r="K12" s="357"/>
      <x:c r="L12" s="357"/>
      <x:c r="M12" s="357"/>
      <x:c r="N12" s="357"/>
      <x:c r="O12" s="357"/>
      <x:c r="P12" s="357"/>
      <x:c r="Q12" s="239"/>
    </x:row>
    <x:row r="13" ht="22" customHeight="1">
      <x:c r="A13" s="265" t="str">
        <x:v>KPI Center</x:v>
      </x:c>
      <x:c r="B13" s="265"/>
      <x:c r="C13" s="265"/>
      <x:c r="D13" s="239"/>
      <x:c r="E13" s="352"/>
      <x:c r="F13" s="352"/>
      <x:c r="G13" s="352"/>
      <x:c r="H13" s="352"/>
      <x:c r="I13" s="352"/>
      <x:c r="J13" s="239"/>
      <x:c r="K13" s="357"/>
      <x:c r="L13" s="357"/>
      <x:c r="M13" s="357"/>
      <x:c r="N13" s="357"/>
      <x:c r="O13" s="357"/>
      <x:c r="P13" s="357"/>
      <x:c r="Q13" s="239"/>
    </x:row>
    <x:row r="14" ht="22" customHeight="1">
      <x:c r="A14" s="265"/>
      <x:c r="B14" s="265"/>
      <x:c r="C14" s="265"/>
      <x:c r="D14" s="239"/>
      <x:c r="E14" s="239"/>
      <x:c r="F14" s="239"/>
      <x:c r="G14" s="239"/>
      <x:c r="H14" s="239"/>
      <x:c r="I14" s="239"/>
      <x:c r="J14" s="239"/>
      <x:c r="K14" s="239"/>
      <x:c r="L14" s="239"/>
      <x:c r="M14" s="239"/>
      <x:c r="N14" s="239"/>
      <x:c r="O14" s="239"/>
      <x:c r="P14" s="239"/>
      <x:c r="Q14" s="239"/>
    </x:row>
    <x:row r="15" ht="22" customHeight="1">
      <x:c r="A15" s="258"/>
      <x:c r="B15" s="258"/>
      <x:c r="C15" s="258"/>
      <x:c r="D15" s="239"/>
      <x:c r="E15" s="360" t="str">
        <x:f>"PROFITABILITY"&amp;CHAR(10)&amp;CHAR(10)&amp;"Profit margin: "&amp;TEXT(SUM(RAW_DATA!N2:N301)/SUM(RAW_DATA!L2:L301),"0.0%")&amp;CHAR(10)&amp;IF(SUM(RAW_DATA!N2:N301)/SUM(RAW_DATA!L2:L301)&gt;=0.25,"Healthy overall margin.","Review discounting and product mix.")</x:f>
        <x:v>PROFITABILITY
Profit margin: 31.7%
Healthy overall margin.</x:v>
      </x:c>
      <x:c r="F15" s="360"/>
      <x:c r="G15" s="360"/>
      <x:c r="H15" s="360"/>
      <x:c r="I15" s="360"/>
      <x:c r="J15" s="239"/>
      <x:c r="K15" s="363" t="str">
        <x:f>"CUSTOMER MIX"&amp;CHAR(10)&amp;CHAR(10)&amp;"New customer revenue: ₹"&amp;ROUND(KPI_Center!N21,0)&amp;CHAR(10)&amp;"Existing customer revenue: ₹"&amp;ROUND(KPI_Center!N22,0)</x:f>
        <x:v>CUSTOMER MIX
New customer revenue: ₹14725010
Existing customer revenue: ₹28542700</x:v>
      </x:c>
      <x:c r="L15" s="363"/>
      <x:c r="M15" s="363"/>
      <x:c r="N15" s="363"/>
      <x:c r="O15" s="363"/>
      <x:c r="P15" s="363"/>
      <x:c r="Q15" s="239"/>
    </x:row>
    <x:row r="16" ht="22" customHeight="1">
      <x:c r="A16" s="265" t="str">
        <x:v>Forecast</x:v>
      </x:c>
      <x:c r="B16" s="265"/>
      <x:c r="C16" s="265"/>
      <x:c r="D16" s="239"/>
      <x:c r="E16" s="360"/>
      <x:c r="F16" s="360"/>
      <x:c r="G16" s="360"/>
      <x:c r="H16" s="360"/>
      <x:c r="I16" s="360"/>
      <x:c r="J16" s="239"/>
      <x:c r="K16" s="363"/>
      <x:c r="L16" s="363"/>
      <x:c r="M16" s="363"/>
      <x:c r="N16" s="363"/>
      <x:c r="O16" s="363"/>
      <x:c r="P16" s="363"/>
      <x:c r="Q16" s="239"/>
    </x:row>
    <x:row r="17" ht="22" customHeight="1">
      <x:c r="A17" s="265"/>
      <x:c r="B17" s="265"/>
      <x:c r="C17" s="265"/>
      <x:c r="D17" s="239"/>
      <x:c r="E17" s="360"/>
      <x:c r="F17" s="360"/>
      <x:c r="G17" s="360"/>
      <x:c r="H17" s="360"/>
      <x:c r="I17" s="360"/>
      <x:c r="J17" s="239"/>
      <x:c r="K17" s="363"/>
      <x:c r="L17" s="363"/>
      <x:c r="M17" s="363"/>
      <x:c r="N17" s="363"/>
      <x:c r="O17" s="363"/>
      <x:c r="P17" s="363"/>
      <x:c r="Q17" s="239"/>
    </x:row>
    <x:row r="18" ht="22" customHeight="1">
      <x:c r="A18" s="258"/>
      <x:c r="B18" s="258"/>
      <x:c r="C18" s="258"/>
      <x:c r="D18" s="239"/>
      <x:c r="E18" s="360"/>
      <x:c r="F18" s="360"/>
      <x:c r="G18" s="360"/>
      <x:c r="H18" s="360"/>
      <x:c r="I18" s="360"/>
      <x:c r="J18" s="239"/>
      <x:c r="K18" s="363"/>
      <x:c r="L18" s="363"/>
      <x:c r="M18" s="363"/>
      <x:c r="N18" s="363"/>
      <x:c r="O18" s="363"/>
      <x:c r="P18" s="363"/>
      <x:c r="Q18" s="239"/>
    </x:row>
    <x:row r="19" ht="22" customHeight="1">
      <x:c r="A19" s="265" t="str">
        <x:v>Product Analysis</x:v>
      </x:c>
      <x:c r="B19" s="265"/>
      <x:c r="C19" s="265"/>
      <x:c r="D19" s="239"/>
      <x:c r="E19" s="360"/>
      <x:c r="F19" s="360"/>
      <x:c r="G19" s="360"/>
      <x:c r="H19" s="360"/>
      <x:c r="I19" s="360"/>
      <x:c r="J19" s="239"/>
      <x:c r="K19" s="363"/>
      <x:c r="L19" s="363"/>
      <x:c r="M19" s="363"/>
      <x:c r="N19" s="363"/>
      <x:c r="O19" s="363"/>
      <x:c r="P19" s="363"/>
      <x:c r="Q19" s="239"/>
    </x:row>
    <x:row r="20" ht="22" customHeight="1">
      <x:c r="A20" s="265"/>
      <x:c r="B20" s="265"/>
      <x:c r="C20" s="265"/>
      <x:c r="D20" s="239"/>
      <x:c r="E20" s="360"/>
      <x:c r="F20" s="360"/>
      <x:c r="G20" s="360"/>
      <x:c r="H20" s="360"/>
      <x:c r="I20" s="360"/>
      <x:c r="J20" s="239"/>
      <x:c r="K20" s="363"/>
      <x:c r="L20" s="363"/>
      <x:c r="M20" s="363"/>
      <x:c r="N20" s="363"/>
      <x:c r="O20" s="363"/>
      <x:c r="P20" s="363"/>
      <x:c r="Q20" s="239"/>
    </x:row>
    <x:row r="21" ht="22" customHeight="1">
      <x:c r="A21" s="258"/>
      <x:c r="B21" s="258"/>
      <x:c r="C21" s="258"/>
      <x:c r="D21" s="239"/>
      <x:c r="E21" s="239"/>
      <x:c r="F21" s="239"/>
      <x:c r="G21" s="239"/>
      <x:c r="H21" s="239"/>
      <x:c r="I21" s="239"/>
      <x:c r="J21" s="239"/>
      <x:c r="K21" s="239"/>
      <x:c r="L21" s="239"/>
      <x:c r="M21" s="239"/>
      <x:c r="N21" s="239"/>
      <x:c r="O21" s="239"/>
      <x:c r="P21" s="239"/>
      <x:c r="Q21" s="239"/>
    </x:row>
    <x:row r="22" ht="22" customHeight="1">
      <x:c r="A22" s="265" t="str">
        <x:v>Region Analysis</x:v>
      </x:c>
      <x:c r="B22" s="265"/>
      <x:c r="C22" s="265"/>
      <x:c r="D22" s="239"/>
      <x:c r="E22" s="368" t="str">
        <x:f>"REGIONAL ACTION"&amp;CHAR(10)&amp;CHAR(10)&amp;"Top region: "&amp;INDEX(Region_Analysis!E7:E10,MATCH(MAX(Region_Analysis!F7:F10),Region_Analysis!F7:F10,0))&amp;CHAR(10)&amp;"Scale the best-performing regional playbook."</x:f>
        <x:v>REGIONAL ACTION
Top region: East
Scale the best-performing regional playbook.</x:v>
      </x:c>
      <x:c r="F22" s="368"/>
      <x:c r="G22" s="368"/>
      <x:c r="H22" s="368"/>
      <x:c r="I22" s="368"/>
      <x:c r="J22" s="239"/>
      <x:c r="K22" s="373" t="str">
        <x:f>"FORECAST ACTION"&amp;CHAR(10)&amp;CHAR(10)&amp;"Next-month estimate: ₹"&amp;ROUND(Forecast!I5,0)&amp;CHAR(10)&amp;IF(Forecast!I5&gt;Forecast!F17,"Plan for higher demand.","Use promotions to protect momentum.")</x:f>
        <x:v>FORECAST ACTION
Next-month estimate: ₹5572857
Plan for higher demand.</x:v>
      </x:c>
      <x:c r="L22" s="373"/>
      <x:c r="M22" s="373"/>
      <x:c r="N22" s="373"/>
      <x:c r="O22" s="373"/>
      <x:c r="P22" s="373"/>
      <x:c r="Q22" s="239"/>
    </x:row>
    <x:row r="23" ht="22" customHeight="1">
      <x:c r="A23" s="265"/>
      <x:c r="B23" s="265"/>
      <x:c r="C23" s="265"/>
      <x:c r="D23" s="239"/>
      <x:c r="E23" s="368"/>
      <x:c r="F23" s="368"/>
      <x:c r="G23" s="368"/>
      <x:c r="H23" s="368"/>
      <x:c r="I23" s="368"/>
      <x:c r="J23" s="239"/>
      <x:c r="K23" s="373"/>
      <x:c r="L23" s="373"/>
      <x:c r="M23" s="373"/>
      <x:c r="N23" s="373"/>
      <x:c r="O23" s="373"/>
      <x:c r="P23" s="373"/>
      <x:c r="Q23" s="239"/>
    </x:row>
    <x:row r="24" ht="22" customHeight="1">
      <x:c r="A24" s="258"/>
      <x:c r="B24" s="258"/>
      <x:c r="C24" s="258"/>
      <x:c r="D24" s="239"/>
      <x:c r="E24" s="368"/>
      <x:c r="F24" s="368"/>
      <x:c r="G24" s="368"/>
      <x:c r="H24" s="368"/>
      <x:c r="I24" s="368"/>
      <x:c r="J24" s="239"/>
      <x:c r="K24" s="373"/>
      <x:c r="L24" s="373"/>
      <x:c r="M24" s="373"/>
      <x:c r="N24" s="373"/>
      <x:c r="O24" s="373"/>
      <x:c r="P24" s="373"/>
      <x:c r="Q24" s="239"/>
    </x:row>
    <x:row r="25" ht="22" customHeight="1">
      <x:c r="A25" s="267" t="str">
        <x:v>AI Insights</x:v>
      </x:c>
      <x:c r="B25" s="267"/>
      <x:c r="C25" s="267"/>
      <x:c r="D25" s="239"/>
      <x:c r="E25" s="368"/>
      <x:c r="F25" s="368"/>
      <x:c r="G25" s="368"/>
      <x:c r="H25" s="368"/>
      <x:c r="I25" s="368"/>
      <x:c r="J25" s="239"/>
      <x:c r="K25" s="373"/>
      <x:c r="L25" s="373"/>
      <x:c r="M25" s="373"/>
      <x:c r="N25" s="373"/>
      <x:c r="O25" s="373"/>
      <x:c r="P25" s="373"/>
      <x:c r="Q25" s="239"/>
    </x:row>
    <x:row r="26" ht="22" customHeight="1">
      <x:c r="A26" s="267"/>
      <x:c r="B26" s="267"/>
      <x:c r="C26" s="267"/>
      <x:c r="D26" s="239"/>
      <x:c r="E26" s="368"/>
      <x:c r="F26" s="368"/>
      <x:c r="G26" s="368"/>
      <x:c r="H26" s="368"/>
      <x:c r="I26" s="368"/>
      <x:c r="J26" s="239"/>
      <x:c r="K26" s="373"/>
      <x:c r="L26" s="373"/>
      <x:c r="M26" s="373"/>
      <x:c r="N26" s="373"/>
      <x:c r="O26" s="373"/>
      <x:c r="P26" s="373"/>
      <x:c r="Q26" s="239"/>
    </x:row>
    <x:row r="27" ht="22" customHeight="1">
      <x:c r="A27" s="258"/>
      <x:c r="B27" s="258"/>
      <x:c r="C27" s="258"/>
      <x:c r="D27" s="239"/>
      <x:c r="E27" s="368"/>
      <x:c r="F27" s="368"/>
      <x:c r="G27" s="368"/>
      <x:c r="H27" s="368"/>
      <x:c r="I27" s="368"/>
      <x:c r="J27" s="239"/>
      <x:c r="K27" s="373"/>
      <x:c r="L27" s="373"/>
      <x:c r="M27" s="373"/>
      <x:c r="N27" s="373"/>
      <x:c r="O27" s="373"/>
      <x:c r="P27" s="373"/>
      <x:c r="Q27" s="239"/>
    </x:row>
    <x:row r="28" ht="22" customHeight="1">
      <x:c r="A28" s="265" t="str">
        <x:v>Reports</x:v>
      </x:c>
      <x:c r="B28" s="265"/>
      <x:c r="C28" s="265"/>
      <x:c r="D28" s="239"/>
      <x:c r="E28" s="239"/>
      <x:c r="F28" s="239"/>
      <x:c r="G28" s="239"/>
      <x:c r="H28" s="239"/>
      <x:c r="I28" s="239"/>
      <x:c r="J28" s="239"/>
      <x:c r="K28" s="239"/>
      <x:c r="L28" s="239"/>
      <x:c r="M28" s="239"/>
      <x:c r="N28" s="239"/>
      <x:c r="O28" s="239"/>
      <x:c r="P28" s="239"/>
      <x:c r="Q28" s="239"/>
    </x:row>
    <x:row r="29" ht="22" customHeight="1">
      <x:c r="A29" s="265"/>
      <x:c r="B29" s="265"/>
      <x:c r="C29" s="265"/>
      <x:c r="D29" s="239"/>
      <x:c r="E29" s="239"/>
      <x:c r="F29" s="239"/>
      <x:c r="G29" s="239"/>
      <x:c r="H29" s="239"/>
      <x:c r="I29" s="239"/>
      <x:c r="J29" s="239"/>
      <x:c r="K29" s="239"/>
      <x:c r="L29" s="239"/>
      <x:c r="M29" s="239"/>
      <x:c r="N29" s="239"/>
      <x:c r="O29" s="239"/>
      <x:c r="P29" s="239"/>
      <x:c r="Q29" s="239"/>
    </x:row>
    <x:row r="30" ht="22" customHeight="1">
      <x:c r="A30" s="258"/>
      <x:c r="B30" s="258"/>
      <x:c r="C30" s="258"/>
      <x:c r="D30" s="239"/>
      <x:c r="E30" s="239"/>
      <x:c r="F30" s="239"/>
      <x:c r="G30" s="239"/>
      <x:c r="H30" s="239"/>
      <x:c r="I30" s="239"/>
      <x:c r="J30" s="239"/>
      <x:c r="K30" s="239"/>
      <x:c r="L30" s="239"/>
      <x:c r="M30" s="239"/>
      <x:c r="N30" s="239"/>
      <x:c r="O30" s="239"/>
      <x:c r="P30" s="239"/>
      <x:c r="Q30" s="239"/>
    </x:row>
    <x:row r="31" ht="22" customHeight="1">
      <x:c r="A31" s="265" t="str">
        <x:v>Settings</x:v>
      </x:c>
      <x:c r="B31" s="265"/>
      <x:c r="C31" s="265"/>
      <x:c r="D31" s="239"/>
      <x:c r="E31" s="239"/>
      <x:c r="F31" s="239"/>
      <x:c r="G31" s="239"/>
      <x:c r="H31" s="239"/>
      <x:c r="I31" s="239"/>
      <x:c r="J31" s="239"/>
      <x:c r="K31" s="239"/>
      <x:c r="L31" s="239"/>
      <x:c r="M31" s="239"/>
      <x:c r="N31" s="239"/>
      <x:c r="O31" s="239"/>
      <x:c r="P31" s="239"/>
      <x:c r="Q31" s="239"/>
    </x:row>
    <x:row r="32" ht="22" customHeight="1">
      <x:c r="A32" s="265"/>
      <x:c r="B32" s="265"/>
      <x:c r="C32" s="265"/>
      <x:c r="D32" s="239"/>
      <x:c r="E32" s="239"/>
      <x:c r="F32" s="239"/>
      <x:c r="G32" s="239"/>
      <x:c r="H32" s="239"/>
      <x:c r="I32" s="239"/>
      <x:c r="J32" s="239"/>
      <x:c r="K32" s="239"/>
      <x:c r="L32" s="239"/>
      <x:c r="M32" s="239"/>
      <x:c r="N32" s="239"/>
      <x:c r="O32" s="239"/>
      <x:c r="P32" s="239"/>
      <x:c r="Q32" s="239"/>
    </x:row>
    <x:row r="33" ht="22" customHeight="1">
      <x:c r="A33" s="258"/>
      <x:c r="B33" s="258"/>
      <x:c r="C33" s="258"/>
      <x:c r="D33" s="239"/>
      <x:c r="E33" s="239"/>
      <x:c r="F33" s="239"/>
      <x:c r="G33" s="239"/>
      <x:c r="H33" s="239"/>
      <x:c r="I33" s="239"/>
      <x:c r="J33" s="239"/>
      <x:c r="K33" s="239"/>
      <x:c r="L33" s="239"/>
      <x:c r="M33" s="239"/>
      <x:c r="N33" s="239"/>
      <x:c r="O33" s="239"/>
      <x:c r="P33" s="239"/>
      <x:c r="Q33" s="239"/>
    </x:row>
    <x:row r="34" ht="22" customHeight="1">
      <x:c r="A34" s="258"/>
      <x:c r="B34" s="258"/>
      <x:c r="C34" s="258"/>
      <x:c r="D34" s="239"/>
      <x:c r="E34" s="239"/>
      <x:c r="F34" s="239"/>
      <x:c r="G34" s="239"/>
      <x:c r="H34" s="239"/>
      <x:c r="I34" s="239"/>
      <x:c r="J34" s="239"/>
      <x:c r="K34" s="239"/>
      <x:c r="L34" s="239"/>
      <x:c r="M34" s="239"/>
      <x:c r="N34" s="239"/>
      <x:c r="O34" s="239"/>
      <x:c r="P34" s="239"/>
      <x:c r="Q34" s="239"/>
    </x:row>
    <x:row r="35" ht="22" customHeight="1">
      <x:c r="A35" s="258"/>
      <x:c r="B35" s="258"/>
      <x:c r="C35" s="258"/>
      <x:c r="D35" s="239"/>
      <x:c r="E35" s="239"/>
      <x:c r="F35" s="239"/>
      <x:c r="G35" s="239"/>
      <x:c r="H35" s="239"/>
      <x:c r="I35" s="239"/>
      <x:c r="J35" s="239"/>
      <x:c r="K35" s="239"/>
      <x:c r="L35" s="239"/>
      <x:c r="M35" s="239"/>
      <x:c r="N35" s="239"/>
      <x:c r="O35" s="239"/>
      <x:c r="P35" s="239"/>
      <x:c r="Q35" s="239"/>
    </x:row>
    <x:row r="36" ht="22" customHeight="1">
      <x:c r="A36" s="258"/>
      <x:c r="B36" s="258"/>
      <x:c r="C36" s="258"/>
      <x:c r="D36" s="239"/>
      <x:c r="E36" s="239"/>
      <x:c r="F36" s="239"/>
      <x:c r="G36" s="239"/>
      <x:c r="H36" s="239"/>
      <x:c r="I36" s="239"/>
      <x:c r="J36" s="239"/>
      <x:c r="K36" s="239"/>
      <x:c r="L36" s="239"/>
      <x:c r="M36" s="239"/>
      <x:c r="N36" s="239"/>
      <x:c r="O36" s="239"/>
      <x:c r="P36" s="239"/>
      <x:c r="Q36" s="239"/>
    </x:row>
    <x:row r="37" ht="22" customHeight="1">
      <x:c r="A37" s="258"/>
      <x:c r="B37" s="258"/>
      <x:c r="C37" s="258"/>
      <x:c r="D37" s="239"/>
      <x:c r="E37" s="239"/>
      <x:c r="F37" s="239"/>
      <x:c r="G37" s="239"/>
      <x:c r="H37" s="239"/>
      <x:c r="I37" s="239"/>
      <x:c r="J37" s="239"/>
      <x:c r="K37" s="239"/>
      <x:c r="L37" s="239"/>
      <x:c r="M37" s="239"/>
      <x:c r="N37" s="239"/>
      <x:c r="O37" s="239"/>
      <x:c r="P37" s="239"/>
      <x:c r="Q37" s="239"/>
    </x:row>
    <x:row r="38" ht="22" customHeight="1">
      <x:c r="A38" s="258"/>
      <x:c r="B38" s="258"/>
      <x:c r="C38" s="258"/>
      <x:c r="D38" s="239"/>
      <x:c r="E38" s="239"/>
      <x:c r="F38" s="239"/>
      <x:c r="G38" s="239"/>
      <x:c r="H38" s="239"/>
      <x:c r="I38" s="239"/>
      <x:c r="J38" s="239"/>
      <x:c r="K38" s="239"/>
      <x:c r="L38" s="239"/>
      <x:c r="M38" s="239"/>
      <x:c r="N38" s="239"/>
      <x:c r="O38" s="239"/>
      <x:c r="P38" s="239"/>
      <x:c r="Q38" s="239"/>
    </x:row>
    <x:row r="39" ht="22" customHeight="1">
      <x:c r="A39" s="258"/>
      <x:c r="B39" s="258"/>
      <x:c r="C39" s="258"/>
      <x:c r="D39" s="239"/>
      <x:c r="E39" s="239"/>
      <x:c r="F39" s="239"/>
      <x:c r="G39" s="239"/>
      <x:c r="H39" s="239"/>
      <x:c r="I39" s="239"/>
      <x:c r="J39" s="239"/>
      <x:c r="K39" s="239"/>
      <x:c r="L39" s="239"/>
      <x:c r="M39" s="239"/>
      <x:c r="N39" s="239"/>
      <x:c r="O39" s="239"/>
      <x:c r="P39" s="239"/>
      <x:c r="Q39" s="239"/>
    </x:row>
    <x:row r="40" ht="22" customHeight="1">
      <x:c r="A40" s="258"/>
      <x:c r="B40" s="258"/>
      <x:c r="C40" s="258"/>
      <x:c r="D40" s="239"/>
      <x:c r="E40" s="239"/>
      <x:c r="F40" s="239"/>
      <x:c r="G40" s="239"/>
      <x:c r="H40" s="239"/>
      <x:c r="I40" s="239"/>
      <x:c r="J40" s="239"/>
      <x:c r="K40" s="239"/>
      <x:c r="L40" s="239"/>
      <x:c r="M40" s="239"/>
      <x:c r="N40" s="239"/>
      <x:c r="O40" s="239"/>
      <x:c r="P40" s="239"/>
      <x:c r="Q40" s="239"/>
    </x:row>
    <x:row r="41" ht="22" customHeight="1">
      <x:c r="A41" s="258"/>
      <x:c r="B41" s="258"/>
      <x:c r="C41" s="258"/>
      <x:c r="D41" s="239"/>
      <x:c r="E41" s="239"/>
      <x:c r="F41" s="239"/>
      <x:c r="G41" s="239"/>
      <x:c r="H41" s="239"/>
      <x:c r="I41" s="239"/>
      <x:c r="J41" s="239"/>
      <x:c r="K41" s="239"/>
      <x:c r="L41" s="239"/>
      <x:c r="M41" s="239"/>
      <x:c r="N41" s="239"/>
      <x:c r="O41" s="239"/>
      <x:c r="P41" s="239"/>
      <x:c r="Q41" s="239"/>
    </x:row>
    <x:row r="42" ht="22" customHeight="1">
      <x:c r="A42" s="258"/>
      <x:c r="B42" s="258"/>
      <x:c r="C42" s="258"/>
      <x:c r="D42" s="239"/>
      <x:c r="E42" s="239"/>
      <x:c r="F42" s="239"/>
      <x:c r="G42" s="239"/>
      <x:c r="H42" s="239"/>
      <x:c r="I42" s="239"/>
      <x:c r="J42" s="239"/>
      <x:c r="K42" s="239"/>
      <x:c r="L42" s="239"/>
      <x:c r="M42" s="239"/>
      <x:c r="N42" s="239"/>
      <x:c r="O42" s="239"/>
      <x:c r="P42" s="239"/>
      <x:c r="Q42" s="239"/>
    </x:row>
    <x:row r="43" ht="22" customHeight="1">
      <x:c r="A43" s="258"/>
      <x:c r="B43" s="258"/>
      <x:c r="C43" s="258"/>
      <x:c r="D43" s="239"/>
      <x:c r="E43" s="239"/>
      <x:c r="F43" s="239"/>
      <x:c r="G43" s="239"/>
      <x:c r="H43" s="239"/>
      <x:c r="I43" s="239"/>
      <x:c r="J43" s="239"/>
      <x:c r="K43" s="239"/>
      <x:c r="L43" s="239"/>
      <x:c r="M43" s="239"/>
      <x:c r="N43" s="239"/>
      <x:c r="O43" s="239"/>
      <x:c r="P43" s="239"/>
      <x:c r="Q43" s="239"/>
    </x:row>
    <x:row r="44" ht="22" customHeight="1">
      <x:c r="A44" s="258"/>
      <x:c r="B44" s="258"/>
      <x:c r="C44" s="258"/>
      <x:c r="D44" s="239"/>
      <x:c r="E44" s="239"/>
      <x:c r="F44" s="239"/>
      <x:c r="G44" s="239"/>
      <x:c r="H44" s="239"/>
      <x:c r="I44" s="239"/>
      <x:c r="J44" s="239"/>
      <x:c r="K44" s="239"/>
      <x:c r="L44" s="239"/>
      <x:c r="M44" s="239"/>
      <x:c r="N44" s="239"/>
      <x:c r="O44" s="239"/>
      <x:c r="P44" s="239"/>
      <x:c r="Q44" s="239"/>
    </x:row>
    <x:row r="45" ht="22" customHeight="1">
      <x:c r="A45" s="258"/>
      <x:c r="B45" s="258"/>
      <x:c r="C45" s="258"/>
      <x:c r="D45" s="239"/>
      <x:c r="E45" s="239"/>
      <x:c r="F45" s="239"/>
      <x:c r="G45" s="239"/>
      <x:c r="H45" s="239"/>
      <x:c r="I45" s="239"/>
      <x:c r="J45" s="239"/>
      <x:c r="K45" s="239"/>
      <x:c r="L45" s="239"/>
      <x:c r="M45" s="239"/>
      <x:c r="N45" s="239"/>
      <x:c r="O45" s="239"/>
      <x:c r="P45" s="239"/>
      <x:c r="Q45" s="239"/>
    </x:row>
    <x:row r="46" ht="22" customHeight="1">
      <x:c r="A46" s="258"/>
      <x:c r="B46" s="258"/>
      <x:c r="C46" s="258"/>
      <x:c r="D46" s="239"/>
      <x:c r="E46" s="239"/>
      <x:c r="F46" s="239"/>
      <x:c r="G46" s="239"/>
      <x:c r="H46" s="239"/>
      <x:c r="I46" s="239"/>
      <x:c r="J46" s="239"/>
      <x:c r="K46" s="239"/>
      <x:c r="L46" s="239"/>
      <x:c r="M46" s="239"/>
      <x:c r="N46" s="239"/>
      <x:c r="O46" s="239"/>
      <x:c r="P46" s="239"/>
      <x:c r="Q46" s="239"/>
    </x:row>
    <x:row r="47" ht="22" customHeight="1">
      <x:c r="A47" s="258"/>
      <x:c r="B47" s="258"/>
      <x:c r="C47" s="258"/>
      <x:c r="D47" s="239"/>
      <x:c r="E47" s="239"/>
      <x:c r="F47" s="239"/>
      <x:c r="G47" s="239"/>
      <x:c r="H47" s="239"/>
      <x:c r="I47" s="239"/>
      <x:c r="J47" s="239"/>
      <x:c r="K47" s="239"/>
      <x:c r="L47" s="239"/>
      <x:c r="M47" s="239"/>
      <x:c r="N47" s="239"/>
      <x:c r="O47" s="239"/>
      <x:c r="P47" s="239"/>
      <x:c r="Q47" s="239"/>
    </x:row>
    <x:row r="48" ht="22" customHeight="1">
      <x:c r="A48" s="258"/>
      <x:c r="B48" s="258"/>
      <x:c r="C48" s="258"/>
      <x:c r="D48" s="239"/>
      <x:c r="E48" s="239"/>
      <x:c r="F48" s="239"/>
      <x:c r="G48" s="239"/>
      <x:c r="H48" s="239"/>
      <x:c r="I48" s="239"/>
      <x:c r="J48" s="239"/>
      <x:c r="K48" s="239"/>
      <x:c r="L48" s="239"/>
      <x:c r="M48" s="239"/>
      <x:c r="N48" s="239"/>
      <x:c r="O48" s="239"/>
      <x:c r="P48" s="239"/>
      <x:c r="Q48" s="239"/>
    </x:row>
    <x:row r="49" ht="22" customHeight="1">
      <x:c r="A49" s="258"/>
      <x:c r="B49" s="258"/>
      <x:c r="C49" s="258"/>
      <x:c r="D49" s="239"/>
      <x:c r="E49" s="239"/>
      <x:c r="F49" s="239"/>
      <x:c r="G49" s="239"/>
      <x:c r="H49" s="239"/>
      <x:c r="I49" s="239"/>
      <x:c r="J49" s="239"/>
      <x:c r="K49" s="239"/>
      <x:c r="L49" s="239"/>
      <x:c r="M49" s="239"/>
      <x:c r="N49" s="239"/>
      <x:c r="O49" s="239"/>
      <x:c r="P49" s="239"/>
      <x:c r="Q49" s="239"/>
    </x:row>
    <x:row r="50" ht="22" customHeight="1">
      <x:c r="A50" s="258"/>
      <x:c r="B50" s="258"/>
      <x:c r="C50" s="258"/>
      <x:c r="D50" s="239"/>
      <x:c r="E50" s="239"/>
      <x:c r="F50" s="239"/>
      <x:c r="G50" s="239"/>
      <x:c r="H50" s="239"/>
      <x:c r="I50" s="239"/>
      <x:c r="J50" s="239"/>
      <x:c r="K50" s="239"/>
      <x:c r="L50" s="239"/>
      <x:c r="M50" s="239"/>
      <x:c r="N50" s="239"/>
      <x:c r="O50" s="239"/>
      <x:c r="P50" s="239"/>
      <x:c r="Q50" s="239"/>
    </x:row>
    <x:row r="51" ht="22" customHeight="1">
      <x:c r="A51" s="239"/>
      <x:c r="B51" s="239"/>
      <x:c r="C51" s="239"/>
      <x:c r="D51" s="239"/>
      <x:c r="E51" s="239"/>
      <x:c r="F51" s="239"/>
      <x:c r="G51" s="239"/>
      <x:c r="H51" s="239"/>
      <x:c r="I51" s="239"/>
      <x:c r="J51" s="239"/>
      <x:c r="K51" s="239"/>
      <x:c r="L51" s="239"/>
      <x:c r="M51" s="239"/>
      <x:c r="N51" s="239"/>
      <x:c r="O51" s="239"/>
      <x:c r="P51" s="239"/>
      <x:c r="Q51" s="239"/>
    </x:row>
    <x:row r="52" ht="22" customHeight="1">
      <x:c r="A52" s="239"/>
      <x:c r="B52" s="239"/>
      <x:c r="C52" s="239"/>
      <x:c r="D52" s="239"/>
      <x:c r="E52" s="239"/>
      <x:c r="F52" s="239"/>
      <x:c r="G52" s="239"/>
      <x:c r="H52" s="239"/>
      <x:c r="I52" s="239"/>
      <x:c r="J52" s="239"/>
      <x:c r="K52" s="239"/>
      <x:c r="L52" s="239"/>
      <x:c r="M52" s="239"/>
      <x:c r="N52" s="239"/>
      <x:c r="O52" s="239"/>
      <x:c r="P52" s="239"/>
      <x:c r="Q52" s="239"/>
    </x:row>
    <x:row r="53" ht="22" customHeight="1">
      <x:c r="A53" s="239"/>
      <x:c r="B53" s="239"/>
      <x:c r="C53" s="239"/>
      <x:c r="D53" s="239"/>
      <x:c r="E53" s="239"/>
      <x:c r="F53" s="239"/>
      <x:c r="G53" s="239"/>
      <x:c r="H53" s="239"/>
      <x:c r="I53" s="239"/>
      <x:c r="J53" s="239"/>
      <x:c r="K53" s="239"/>
      <x:c r="L53" s="239"/>
      <x:c r="M53" s="239"/>
      <x:c r="N53" s="239"/>
      <x:c r="O53" s="239"/>
      <x:c r="P53" s="239"/>
      <x:c r="Q53" s="239"/>
    </x:row>
    <x:row r="54" ht="22" customHeight="1">
      <x:c r="A54" s="239"/>
      <x:c r="B54" s="239"/>
      <x:c r="C54" s="239"/>
      <x:c r="D54" s="239"/>
      <x:c r="E54" s="239"/>
      <x:c r="F54" s="239"/>
      <x:c r="G54" s="239"/>
      <x:c r="H54" s="239"/>
      <x:c r="I54" s="239"/>
      <x:c r="J54" s="239"/>
      <x:c r="K54" s="239"/>
      <x:c r="L54" s="239"/>
      <x:c r="M54" s="239"/>
      <x:c r="N54" s="239"/>
      <x:c r="O54" s="239"/>
      <x:c r="P54" s="239"/>
      <x:c r="Q54" s="239"/>
    </x:row>
    <x:row r="55" ht="22" customHeight="1">
      <x:c r="A55" s="239"/>
      <x:c r="B55" s="239"/>
      <x:c r="C55" s="239"/>
      <x:c r="D55" s="239"/>
      <x:c r="E55" s="239"/>
      <x:c r="F55" s="239"/>
      <x:c r="G55" s="239"/>
      <x:c r="H55" s="239"/>
      <x:c r="I55" s="239"/>
      <x:c r="J55" s="239"/>
      <x:c r="K55" s="239"/>
      <x:c r="L55" s="239"/>
      <x:c r="M55" s="239"/>
      <x:c r="N55" s="239"/>
      <x:c r="O55" s="239"/>
      <x:c r="P55" s="239"/>
      <x:c r="Q55" s="239"/>
    </x:row>
    <x:row r="56" ht="22" customHeight="1">
      <x:c r="A56" s="239"/>
      <x:c r="B56" s="239"/>
      <x:c r="C56" s="239"/>
      <x:c r="D56" s="239"/>
      <x:c r="E56" s="239"/>
      <x:c r="F56" s="239"/>
      <x:c r="G56" s="239"/>
      <x:c r="H56" s="239"/>
      <x:c r="I56" s="239"/>
      <x:c r="J56" s="239"/>
      <x:c r="K56" s="239"/>
      <x:c r="L56" s="239"/>
      <x:c r="M56" s="239"/>
      <x:c r="N56" s="239"/>
      <x:c r="O56" s="239"/>
      <x:c r="P56" s="239"/>
      <x:c r="Q56" s="239"/>
    </x:row>
    <x:row r="57" ht="22" customHeight="1">
      <x:c r="A57" s="239"/>
      <x:c r="B57" s="239"/>
      <x:c r="C57" s="239"/>
      <x:c r="D57" s="239"/>
      <x:c r="E57" s="239"/>
      <x:c r="F57" s="239"/>
      <x:c r="G57" s="239"/>
      <x:c r="H57" s="239"/>
      <x:c r="I57" s="239"/>
      <x:c r="J57" s="239"/>
      <x:c r="K57" s="239"/>
      <x:c r="L57" s="239"/>
      <x:c r="M57" s="239"/>
      <x:c r="N57" s="239"/>
      <x:c r="O57" s="239"/>
      <x:c r="P57" s="239"/>
      <x:c r="Q57" s="239"/>
    </x:row>
    <x:row r="58" ht="22" customHeight="1">
      <x:c r="A58" s="239"/>
      <x:c r="B58" s="239"/>
      <x:c r="C58" s="239"/>
      <x:c r="D58" s="239"/>
      <x:c r="E58" s="239"/>
      <x:c r="F58" s="239"/>
      <x:c r="G58" s="239"/>
      <x:c r="H58" s="239"/>
      <x:c r="I58" s="239"/>
      <x:c r="J58" s="239"/>
      <x:c r="K58" s="239"/>
      <x:c r="L58" s="239"/>
      <x:c r="M58" s="239"/>
      <x:c r="N58" s="239"/>
      <x:c r="O58" s="239"/>
      <x:c r="P58" s="239"/>
      <x:c r="Q58" s="239"/>
    </x:row>
    <x:row r="59" ht="22" customHeight="1">
      <x:c r="A59" s="239"/>
      <x:c r="B59" s="239"/>
      <x:c r="C59" s="239"/>
      <x:c r="D59" s="239"/>
      <x:c r="E59" s="239"/>
      <x:c r="F59" s="239"/>
      <x:c r="G59" s="239"/>
      <x:c r="H59" s="239"/>
      <x:c r="I59" s="239"/>
      <x:c r="J59" s="239"/>
      <x:c r="K59" s="239"/>
      <x:c r="L59" s="239"/>
      <x:c r="M59" s="239"/>
      <x:c r="N59" s="239"/>
      <x:c r="O59" s="239"/>
      <x:c r="P59" s="239"/>
      <x:c r="Q59" s="239"/>
    </x:row>
    <x:row r="60" ht="22" customHeight="1">
      <x:c r="A60" s="239"/>
      <x:c r="B60" s="239"/>
      <x:c r="C60" s="239"/>
      <x:c r="D60" s="239"/>
      <x:c r="E60" s="239"/>
      <x:c r="F60" s="239"/>
      <x:c r="G60" s="239"/>
      <x:c r="H60" s="239"/>
      <x:c r="I60" s="239"/>
      <x:c r="J60" s="239"/>
      <x:c r="K60" s="239"/>
      <x:c r="L60" s="239"/>
      <x:c r="M60" s="239"/>
      <x:c r="N60" s="239"/>
      <x:c r="O60" s="239"/>
      <x:c r="P60" s="239"/>
      <x:c r="Q60" s="239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28:C29"/>
    <x:mergeCell ref="A31:C32"/>
    <x:mergeCell ref="E2:P3"/>
    <x:mergeCell ref="E5:P6"/>
    <x:mergeCell ref="E8:I13"/>
    <x:mergeCell ref="K8:P13"/>
    <x:mergeCell ref="E15:I20"/>
    <x:mergeCell ref="K15:P20"/>
    <x:mergeCell ref="E22:I27"/>
    <x:mergeCell ref="K22:P2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258"/>
      <x:c r="B1" s="258"/>
      <x:c r="C1" s="258"/>
      <x:c r="D1" s="239"/>
      <x:c r="E1" s="239"/>
      <x:c r="F1" s="239"/>
      <x:c r="G1" s="239"/>
      <x:c r="H1" s="239"/>
      <x:c r="I1" s="239"/>
      <x:c r="J1" s="239"/>
      <x:c r="K1" s="239"/>
      <x:c r="L1" s="239"/>
      <x:c r="M1" s="239"/>
      <x:c r="N1" s="239"/>
      <x:c r="O1" s="239"/>
      <x:c r="P1" s="239"/>
      <x:c r="Q1" s="239"/>
    </x:row>
    <x:row r="2" ht="22" customHeight="1">
      <x:c r="A2" s="263" t="str">
        <x:v>SalesIQ</x:v>
      </x:c>
      <x:c r="B2" s="263"/>
      <x:c r="C2" s="263"/>
      <x:c r="D2" s="239"/>
      <x:c r="E2" s="241" t="str">
        <x:v>Product Analysis</x:v>
      </x:c>
      <x:c r="F2" s="241"/>
      <x:c r="G2" s="241"/>
      <x:c r="H2" s="241"/>
      <x:c r="I2" s="241"/>
      <x:c r="J2" s="241"/>
      <x:c r="K2" s="241"/>
      <x:c r="L2" s="241"/>
      <x:c r="M2" s="241"/>
      <x:c r="N2" s="241"/>
      <x:c r="O2" s="241"/>
      <x:c r="P2" s="241"/>
      <x:c r="Q2" s="239"/>
    </x:row>
    <x:row r="3" ht="22" customHeight="1">
      <x:c r="A3" s="263"/>
      <x:c r="B3" s="263"/>
      <x:c r="C3" s="263"/>
      <x:c r="D3" s="239"/>
      <x:c r="E3" s="241"/>
      <x:c r="F3" s="241"/>
      <x:c r="G3" s="241"/>
      <x:c r="H3" s="241"/>
      <x:c r="I3" s="241"/>
      <x:c r="J3" s="241"/>
      <x:c r="K3" s="241"/>
      <x:c r="L3" s="241"/>
      <x:c r="M3" s="241"/>
      <x:c r="N3" s="241"/>
      <x:c r="O3" s="241"/>
      <x:c r="P3" s="241"/>
      <x:c r="Q3" s="239"/>
    </x:row>
    <x:row r="4" ht="22" customHeight="1">
      <x:c r="A4" s="263"/>
      <x:c r="B4" s="263"/>
      <x:c r="C4" s="263"/>
      <x:c r="D4" s="239"/>
      <x:c r="E4" s="239"/>
      <x:c r="F4" s="239"/>
      <x:c r="G4" s="239"/>
      <x:c r="H4" s="239"/>
      <x:c r="I4" s="239"/>
      <x:c r="J4" s="239"/>
      <x:c r="K4" s="239"/>
      <x:c r="L4" s="239"/>
      <x:c r="M4" s="239"/>
      <x:c r="N4" s="239"/>
      <x:c r="O4" s="239"/>
      <x:c r="P4" s="239"/>
      <x:c r="Q4" s="239"/>
    </x:row>
    <x:row r="5" ht="22" customHeight="1">
      <x:c r="A5" s="263"/>
      <x:c r="B5" s="263"/>
      <x:c r="C5" s="263"/>
      <x:c r="D5" s="239"/>
      <x:c r="E5" s="239"/>
      <x:c r="F5" s="239"/>
      <x:c r="G5" s="239"/>
      <x:c r="H5" s="239"/>
      <x:c r="I5" s="239"/>
      <x:c r="J5" s="239"/>
      <x:c r="K5" s="239"/>
      <x:c r="L5" s="239"/>
      <x:c r="M5" s="239"/>
      <x:c r="N5" s="239"/>
      <x:c r="O5" s="239"/>
      <x:c r="P5" s="239"/>
      <x:c r="Q5" s="239"/>
    </x:row>
    <x:row r="6" ht="22" customHeight="1">
      <x:c r="A6" s="258"/>
      <x:c r="B6" s="258"/>
      <x:c r="C6" s="258"/>
      <x:c r="D6" s="239"/>
      <x:c r="E6" s="238" t="str">
        <x:v>Product</x:v>
      </x:c>
      <x:c r="F6" s="238" t="str">
        <x:v>Revenue</x:v>
      </x:c>
      <x:c r="G6" s="238" t="str">
        <x:v>Profit</x:v>
      </x:c>
      <x:c r="H6" s="238" t="str">
        <x:v>Units</x:v>
      </x:c>
      <x:c r="I6" s="238" t="str">
        <x:v>Margin %</x:v>
      </x:c>
      <x:c r="J6" s="239"/>
      <x:c r="K6" s="239"/>
      <x:c r="L6" s="239"/>
      <x:c r="M6" s="239"/>
      <x:c r="N6" s="239"/>
      <x:c r="O6" s="239"/>
      <x:c r="P6" s="239"/>
      <x:c r="Q6" s="239"/>
    </x:row>
    <x:row r="7" ht="22" customHeight="1">
      <x:c r="A7" s="265" t="str">
        <x:v>Home</x:v>
      </x:c>
      <x:c r="B7" s="265"/>
      <x:c r="C7" s="265"/>
      <x:c r="D7" s="239"/>
      <x:c r="E7" s="239" t="str">
        <x:v>Laptop Pro</x:v>
      </x:c>
      <x:c r="F7" s="339" t="n">
        <x:f>SUMIFS(RAW_DATA!L2:L301,RAW_DATA!I2:I301,E7)</x:f>
        <x:v>12117700</x:v>
      </x:c>
      <x:c r="G7" s="339" t="n">
        <x:f>SUMIFS(RAW_DATA!N2:N301,RAW_DATA!I2:I301,E7)</x:f>
        <x:v>2982700</x:v>
      </x:c>
      <x:c r="H7" s="239" t="n">
        <x:f>SUMIFS(RAW_DATA!J2:J301,RAW_DATA!I2:I301,E7)</x:f>
        <x:v>174</x:v>
      </x:c>
      <x:c r="I7" s="340" t="n">
        <x:f>IFERROR(G7/F7,0)</x:f>
        <x:v>0.2461440702443533</x:v>
      </x:c>
      <x:c r="J7" s="239"/>
      <x:c r="K7" s="239"/>
      <x:c r="L7" s="239"/>
      <x:c r="M7" s="239"/>
      <x:c r="N7" s="239"/>
      <x:c r="O7" s="239"/>
      <x:c r="P7" s="239"/>
      <x:c r="Q7" s="239"/>
    </x:row>
    <x:row r="8" ht="22" customHeight="1">
      <x:c r="A8" s="265"/>
      <x:c r="B8" s="265"/>
      <x:c r="C8" s="265"/>
      <x:c r="D8" s="239"/>
      <x:c r="E8" s="239" t="str">
        <x:v>Smartphone X</x:v>
      </x:c>
      <x:c r="F8" s="339" t="n">
        <x:f>SUMIFS(RAW_DATA!L2:L301,RAW_DATA!I2:I301,E8)</x:f>
        <x:v>3462080</x:v>
      </x:c>
      <x:c r="G8" s="339" t="n">
        <x:f>SUMIFS(RAW_DATA!N2:N301,RAW_DATA!I2:I301,E8)</x:f>
        <x:v>954080</x:v>
      </x:c>
      <x:c r="H8" s="239" t="n">
        <x:f>SUMIFS(RAW_DATA!J2:J301,RAW_DATA!I2:I301,E8)</x:f>
        <x:v>110</x:v>
      </x:c>
      <x:c r="I8" s="340" t="n">
        <x:f>IFERROR(G8/F8,0)</x:f>
        <x:v>0.27557999815140033</x:v>
      </x:c>
      <x:c r="J8" s="239"/>
      <x:c r="K8" s="239"/>
      <x:c r="L8" s="239"/>
      <x:c r="M8" s="239"/>
      <x:c r="N8" s="239"/>
      <x:c r="O8" s="239"/>
      <x:c r="P8" s="239"/>
      <x:c r="Q8" s="239"/>
    </x:row>
    <x:row r="9" ht="22" customHeight="1">
      <x:c r="A9" s="258"/>
      <x:c r="B9" s="258"/>
      <x:c r="C9" s="258"/>
      <x:c r="D9" s="239"/>
      <x:c r="E9" s="239" t="str">
        <x:v>Tablet Plus</x:v>
      </x:c>
      <x:c r="F9" s="339" t="n">
        <x:f>SUMIFS(RAW_DATA!L2:L301,RAW_DATA!I2:I301,E9)</x:f>
        <x:v>5987890</x:v>
      </x:c>
      <x:c r="G9" s="339" t="n">
        <x:f>SUMIFS(RAW_DATA!N2:N301,RAW_DATA!I2:I301,E9)</x:f>
        <x:v>1645490</x:v>
      </x:c>
      <x:c r="H9" s="239" t="n">
        <x:f>SUMIFS(RAW_DATA!J2:J301,RAW_DATA!I2:I301,E9)</x:f>
        <x:v>236</x:v>
      </x:c>
      <x:c r="I9" s="340" t="n">
        <x:f>IFERROR(G9/F9,0)</x:f>
        <x:v>0.27480297734260317</x:v>
      </x:c>
      <x:c r="J9" s="239"/>
      <x:c r="K9" s="239"/>
      <x:c r="L9" s="239"/>
      <x:c r="M9" s="239"/>
      <x:c r="N9" s="239"/>
      <x:c r="O9" s="239"/>
      <x:c r="P9" s="239"/>
      <x:c r="Q9" s="239"/>
    </x:row>
    <x:row r="10" ht="22" customHeight="1">
      <x:c r="A10" s="265" t="str">
        <x:v>Dashboard</x:v>
      </x:c>
      <x:c r="B10" s="265"/>
      <x:c r="C10" s="265"/>
      <x:c r="D10" s="239"/>
      <x:c r="E10" s="239" t="str">
        <x:v>Laser Printer</x:v>
      </x:c>
      <x:c r="F10" s="339" t="n">
        <x:f>SUMIFS(RAW_DATA!L2:L301,RAW_DATA!I2:I301,E10)</x:f>
        <x:v>4229700</x:v>
      </x:c>
      <x:c r="G10" s="339" t="n">
        <x:f>SUMIFS(RAW_DATA!N2:N301,RAW_DATA!I2:I301,E10)</x:f>
        <x:v>1445100</x:v>
      </x:c>
      <x:c r="H10" s="239" t="n">
        <x:f>SUMIFS(RAW_DATA!J2:J301,RAW_DATA!I2:I301,E10)</x:f>
        <x:v>221</x:v>
      </x:c>
      <x:c r="I10" s="340" t="n">
        <x:f>IFERROR(G10/F10,0)</x:f>
        <x:v>0.3416554365557841</x:v>
      </x:c>
      <x:c r="J10" s="239"/>
      <x:c r="K10" s="239"/>
      <x:c r="L10" s="239"/>
      <x:c r="M10" s="239"/>
      <x:c r="N10" s="239"/>
      <x:c r="O10" s="239"/>
      <x:c r="P10" s="239"/>
      <x:c r="Q10" s="239"/>
    </x:row>
    <x:row r="11" ht="22" customHeight="1">
      <x:c r="A11" s="265"/>
      <x:c r="B11" s="265"/>
      <x:c r="C11" s="265"/>
      <x:c r="D11" s="239"/>
      <x:c r="E11" s="239" t="str">
        <x:v>Ergonomic Chair</x:v>
      </x:c>
      <x:c r="F11" s="339" t="n">
        <x:f>SUMIFS(RAW_DATA!L2:L301,RAW_DATA!I2:I301,E11)</x:f>
        <x:v>2541490</x:v>
      </x:c>
      <x:c r="G11" s="339" t="n">
        <x:f>SUMIFS(RAW_DATA!N2:N301,RAW_DATA!I2:I301,E11)</x:f>
        <x:v>953090</x:v>
      </x:c>
      <x:c r="H11" s="239" t="n">
        <x:f>SUMIFS(RAW_DATA!J2:J301,RAW_DATA!I2:I301,E11)</x:f>
        <x:v>209</x:v>
      </x:c>
      <x:c r="I11" s="340" t="n">
        <x:f>IFERROR(G11/F11,0)</x:f>
        <x:v>0.3750122959366356</x:v>
      </x:c>
      <x:c r="J11" s="239"/>
      <x:c r="K11" s="239"/>
      <x:c r="L11" s="239"/>
      <x:c r="M11" s="239"/>
      <x:c r="N11" s="239"/>
      <x:c r="O11" s="239"/>
      <x:c r="P11" s="239"/>
      <x:c r="Q11" s="239"/>
    </x:row>
    <x:row r="12" ht="22" customHeight="1">
      <x:c r="A12" s="258"/>
      <x:c r="B12" s="258"/>
      <x:c r="C12" s="258"/>
      <x:c r="D12" s="239"/>
      <x:c r="E12" s="239" t="str">
        <x:v>Standing Desk</x:v>
      </x:c>
      <x:c r="F12" s="339" t="n">
        <x:f>SUMIFS(RAW_DATA!L2:L301,RAW_DATA!I2:I301,E12)</x:f>
        <x:v>3031810</x:v>
      </x:c>
      <x:c r="G12" s="339" t="n">
        <x:f>SUMIFS(RAW_DATA!N2:N301,RAW_DATA!I2:I301,E12)</x:f>
        <x:v>1002410</x:v>
      </x:c>
      <x:c r="H12" s="239" t="n">
        <x:f>SUMIFS(RAW_DATA!J2:J301,RAW_DATA!I2:I301,E12)</x:f>
        <x:v>146</x:v>
      </x:c>
      <x:c r="I12" s="340" t="n">
        <x:f>IFERROR(G12/F12,0)</x:f>
        <x:v>0.3306308772647362</x:v>
      </x:c>
      <x:c r="J12" s="239"/>
      <x:c r="K12" s="239"/>
      <x:c r="L12" s="239"/>
      <x:c r="M12" s="239"/>
      <x:c r="N12" s="239"/>
      <x:c r="O12" s="239"/>
      <x:c r="P12" s="239"/>
      <x:c r="Q12" s="239"/>
    </x:row>
    <x:row r="13" ht="22" customHeight="1">
      <x:c r="A13" s="265" t="str">
        <x:v>KPI Center</x:v>
      </x:c>
      <x:c r="B13" s="265"/>
      <x:c r="C13" s="265"/>
      <x:c r="D13" s="239"/>
      <x:c r="E13" s="239" t="str">
        <x:v>Air Purifier</x:v>
      </x:c>
      <x:c r="F13" s="339" t="n">
        <x:f>SUMIFS(RAW_DATA!L2:L301,RAW_DATA!I2:I301,E13)</x:f>
        <x:v>3150560</x:v>
      </x:c>
      <x:c r="G13" s="339" t="n">
        <x:f>SUMIFS(RAW_DATA!N2:N301,RAW_DATA!I2:I301,E13)</x:f>
        <x:v>1112160</x:v>
      </x:c>
      <x:c r="H13" s="239" t="n">
        <x:f>SUMIFS(RAW_DATA!J2:J301,RAW_DATA!I2:I301,E13)</x:f>
        <x:v>196</x:v>
      </x:c>
      <x:c r="I13" s="340" t="n">
        <x:f>IFERROR(G13/F13,0)</x:f>
        <x:v>0.35300391041592605</x:v>
      </x:c>
      <x:c r="J13" s="239"/>
      <x:c r="K13" s="239"/>
      <x:c r="L13" s="239"/>
      <x:c r="M13" s="239"/>
      <x:c r="N13" s="239"/>
      <x:c r="O13" s="239"/>
      <x:c r="P13" s="239"/>
      <x:c r="Q13" s="239"/>
    </x:row>
    <x:row r="14" ht="22" customHeight="1">
      <x:c r="A14" s="265"/>
      <x:c r="B14" s="265"/>
      <x:c r="C14" s="265"/>
      <x:c r="D14" s="239"/>
      <x:c r="E14" s="239" t="str">
        <x:v>Microwave</x:v>
      </x:c>
      <x:c r="F14" s="339" t="n">
        <x:f>SUMIFS(RAW_DATA!L2:L301,RAW_DATA!I2:I301,E14)</x:f>
        <x:v>4058660</x:v>
      </x:c>
      <x:c r="G14" s="339" t="n">
        <x:f>SUMIFS(RAW_DATA!N2:N301,RAW_DATA!I2:I301,E14)</x:f>
        <x:v>1534160</x:v>
      </x:c>
      <x:c r="H14" s="239" t="n">
        <x:f>SUMIFS(RAW_DATA!J2:J301,RAW_DATA!I2:I301,E14)</x:f>
        <x:v>306</x:v>
      </x:c>
      <x:c r="I14" s="340" t="n">
        <x:f>IFERROR(G14/F14,0)</x:f>
        <x:v>0.3779966787067653</x:v>
      </x:c>
      <x:c r="J14" s="239"/>
      <x:c r="K14" s="239"/>
      <x:c r="L14" s="239"/>
      <x:c r="M14" s="239"/>
      <x:c r="N14" s="239"/>
      <x:c r="O14" s="239"/>
      <x:c r="P14" s="239"/>
      <x:c r="Q14" s="239"/>
    </x:row>
    <x:row r="15" ht="22" customHeight="1">
      <x:c r="A15" s="258"/>
      <x:c r="B15" s="258"/>
      <x:c r="C15" s="258"/>
      <x:c r="D15" s="239"/>
      <x:c r="E15" s="239" t="str">
        <x:v>Vacuum Cleaner</x:v>
      </x:c>
      <x:c r="F15" s="339" t="n">
        <x:f>SUMIFS(RAW_DATA!L2:L301,RAW_DATA!I2:I301,E15)</x:f>
        <x:v>2246040</x:v>
      </x:c>
      <x:c r="G15" s="339" t="n">
        <x:f>SUMIFS(RAW_DATA!N2:N301,RAW_DATA!I2:I301,E15)</x:f>
        <x:v>826040</x:v>
      </x:c>
      <x:c r="H15" s="239" t="n">
        <x:f>SUMIFS(RAW_DATA!J2:J301,RAW_DATA!I2:I301,E15)</x:f>
        <x:v>200</x:v>
      </x:c>
      <x:c r="I15" s="340" t="n">
        <x:f>IFERROR(G15/F15,0)</x:f>
        <x:v>0.36777617495681286</x:v>
      </x:c>
      <x:c r="J15" s="239"/>
      <x:c r="K15" s="239"/>
      <x:c r="L15" s="239"/>
      <x:c r="M15" s="239"/>
      <x:c r="N15" s="239"/>
      <x:c r="O15" s="239"/>
      <x:c r="P15" s="239"/>
      <x:c r="Q15" s="239"/>
    </x:row>
    <x:row r="16" ht="22" customHeight="1">
      <x:c r="A16" s="265" t="str">
        <x:v>Forecast</x:v>
      </x:c>
      <x:c r="B16" s="265"/>
      <x:c r="C16" s="265"/>
      <x:c r="D16" s="239"/>
      <x:c r="E16" s="239" t="str">
        <x:v>Wireless Mouse</x:v>
      </x:c>
      <x:c r="F16" s="339" t="n">
        <x:f>SUMIFS(RAW_DATA!L2:L301,RAW_DATA!I2:I301,E16)</x:f>
        <x:v>418220</x:v>
      </x:c>
      <x:c r="G16" s="339" t="n">
        <x:f>SUMIFS(RAW_DATA!N2:N301,RAW_DATA!I2:I301,E16)</x:f>
        <x:v>232220</x:v>
      </x:c>
      <x:c r="H16" s="239" t="n">
        <x:f>SUMIFS(RAW_DATA!J2:J301,RAW_DATA!I2:I301,E16)</x:f>
        <x:v>200</x:v>
      </x:c>
      <x:c r="I16" s="340" t="n">
        <x:f>IFERROR(G16/F16,0)</x:f>
        <x:v>0.5552579981827747</x:v>
      </x:c>
      <x:c r="J16" s="239"/>
      <x:c r="K16" s="239"/>
      <x:c r="L16" s="239"/>
      <x:c r="M16" s="239"/>
      <x:c r="N16" s="239"/>
      <x:c r="O16" s="239"/>
      <x:c r="P16" s="239"/>
      <x:c r="Q16" s="239"/>
    </x:row>
    <x:row r="17" ht="22" customHeight="1">
      <x:c r="A17" s="265"/>
      <x:c r="B17" s="265"/>
      <x:c r="C17" s="265"/>
      <x:c r="D17" s="239"/>
      <x:c r="E17" s="239" t="str">
        <x:v>Keyboard</x:v>
      </x:c>
      <x:c r="F17" s="339" t="n">
        <x:f>SUMIFS(RAW_DATA!L2:L301,RAW_DATA!I2:I301,E17)</x:f>
        <x:v>986990</x:v>
      </x:c>
      <x:c r="G17" s="339" t="n">
        <x:f>SUMIFS(RAW_DATA!N2:N301,RAW_DATA!I2:I301,E17)</x:f>
        <x:v>532910</x:v>
      </x:c>
      <x:c r="H17" s="239" t="n">
        <x:f>SUMIFS(RAW_DATA!J2:J301,RAW_DATA!I2:I301,E17)</x:f>
        <x:v>258</x:v>
      </x:c>
      <x:c r="I17" s="340" t="n">
        <x:f>IFERROR(G17/F17,0)</x:f>
        <x:v>0.5399345484756685</x:v>
      </x:c>
      <x:c r="J17" s="239"/>
      <x:c r="K17" s="239"/>
      <x:c r="L17" s="239"/>
      <x:c r="M17" s="239"/>
      <x:c r="N17" s="239"/>
      <x:c r="O17" s="239"/>
      <x:c r="P17" s="239"/>
      <x:c r="Q17" s="239"/>
    </x:row>
    <x:row r="18" ht="22" customHeight="1">
      <x:c r="A18" s="258"/>
      <x:c r="B18" s="258"/>
      <x:c r="C18" s="258"/>
      <x:c r="D18" s="239"/>
      <x:c r="E18" s="239" t="str">
        <x:v>Headphones</x:v>
      </x:c>
      <x:c r="F18" s="339" t="n">
        <x:f>SUMIFS(RAW_DATA!L2:L301,RAW_DATA!I2:I301,E18)</x:f>
        <x:v>1036570</x:v>
      </x:c>
      <x:c r="G18" s="339" t="n">
        <x:f>SUMIFS(RAW_DATA!N2:N301,RAW_DATA!I2:I301,E18)</x:f>
        <x:v>490530</x:v>
      </x:c>
      <x:c r="H18" s="239" t="n">
        <x:f>SUMIFS(RAW_DATA!J2:J301,RAW_DATA!I2:I301,E18)</x:f>
        <x:v>187</x:v>
      </x:c>
      <x:c r="I18" s="340" t="n">
        <x:f>IFERROR(G18/F18,0)</x:f>
        <x:v>0.4732241913233067</x:v>
      </x:c>
      <x:c r="J18" s="239"/>
      <x:c r="K18" s="239"/>
      <x:c r="L18" s="239"/>
      <x:c r="M18" s="239"/>
      <x:c r="N18" s="239"/>
      <x:c r="O18" s="239"/>
      <x:c r="P18" s="239"/>
      <x:c r="Q18" s="239"/>
    </x:row>
    <x:row r="19" ht="22" customHeight="1">
      <x:c r="A19" s="267" t="str">
        <x:v>Product Analysis</x:v>
      </x:c>
      <x:c r="B19" s="267"/>
      <x:c r="C19" s="267"/>
      <x:c r="D19" s="239"/>
      <x:c r="E19" s="239"/>
      <x:c r="F19" s="239"/>
      <x:c r="G19" s="239"/>
      <x:c r="H19" s="239"/>
      <x:c r="I19" s="239"/>
      <x:c r="J19" s="239"/>
      <x:c r="K19" s="239"/>
      <x:c r="L19" s="239"/>
      <x:c r="M19" s="239"/>
      <x:c r="N19" s="239"/>
      <x:c r="O19" s="239"/>
      <x:c r="P19" s="239"/>
      <x:c r="Q19" s="239"/>
    </x:row>
    <x:row r="20" ht="22" customHeight="1">
      <x:c r="A20" s="267"/>
      <x:c r="B20" s="267"/>
      <x:c r="C20" s="267"/>
      <x:c r="D20" s="239"/>
      <x:c r="E20" s="239"/>
      <x:c r="F20" s="239"/>
      <x:c r="G20" s="239"/>
      <x:c r="H20" s="239"/>
      <x:c r="I20" s="239"/>
      <x:c r="J20" s="239"/>
      <x:c r="K20" s="239"/>
      <x:c r="L20" s="239"/>
      <x:c r="M20" s="239"/>
      <x:c r="N20" s="239"/>
      <x:c r="O20" s="239"/>
      <x:c r="P20" s="239"/>
      <x:c r="Q20" s="239"/>
    </x:row>
    <x:row r="21" ht="22" customHeight="1">
      <x:c r="A21" s="258"/>
      <x:c r="B21" s="258"/>
      <x:c r="C21" s="258"/>
      <x:c r="D21" s="239"/>
      <x:c r="E21" s="239"/>
      <x:c r="F21" s="239"/>
      <x:c r="G21" s="239"/>
      <x:c r="H21" s="239"/>
      <x:c r="I21" s="239"/>
      <x:c r="J21" s="239"/>
      <x:c r="K21" s="239"/>
      <x:c r="L21" s="239"/>
      <x:c r="M21" s="239"/>
      <x:c r="N21" s="239"/>
      <x:c r="O21" s="239"/>
      <x:c r="P21" s="239"/>
      <x:c r="Q21" s="239"/>
    </x:row>
    <x:row r="22" ht="22" customHeight="1">
      <x:c r="A22" s="265" t="str">
        <x:v>Region Analysis</x:v>
      </x:c>
      <x:c r="B22" s="265"/>
      <x:c r="C22" s="265"/>
      <x:c r="D22" s="239"/>
      <x:c r="E22" s="345" t="str">
        <x:v>PRODUCT INSIGHT
Top revenue and top profit products update automatically from the current dataset. Use this page to identify high-value products and weak-margin products.</x:v>
      </x:c>
      <x:c r="F22" s="345"/>
      <x:c r="G22" s="345"/>
      <x:c r="H22" s="345"/>
      <x:c r="I22" s="345"/>
      <x:c r="J22" s="239"/>
      <x:c r="K22" s="239"/>
      <x:c r="L22" s="239"/>
      <x:c r="M22" s="239"/>
      <x:c r="N22" s="239"/>
      <x:c r="O22" s="239"/>
      <x:c r="P22" s="239"/>
      <x:c r="Q22" s="239"/>
    </x:row>
    <x:row r="23" ht="22" customHeight="1">
      <x:c r="A23" s="265"/>
      <x:c r="B23" s="265"/>
      <x:c r="C23" s="265"/>
      <x:c r="D23" s="239"/>
      <x:c r="E23" s="345"/>
      <x:c r="F23" s="345"/>
      <x:c r="G23" s="345"/>
      <x:c r="H23" s="345"/>
      <x:c r="I23" s="345"/>
      <x:c r="J23" s="239"/>
      <x:c r="K23" s="239"/>
      <x:c r="L23" s="239"/>
      <x:c r="M23" s="239"/>
      <x:c r="N23" s="239"/>
      <x:c r="O23" s="239"/>
      <x:c r="P23" s="239"/>
      <x:c r="Q23" s="239"/>
    </x:row>
    <x:row r="24" ht="22" customHeight="1">
      <x:c r="A24" s="258"/>
      <x:c r="B24" s="258"/>
      <x:c r="C24" s="258"/>
      <x:c r="D24" s="239"/>
      <x:c r="E24" s="345"/>
      <x:c r="F24" s="345"/>
      <x:c r="G24" s="345"/>
      <x:c r="H24" s="345"/>
      <x:c r="I24" s="345"/>
      <x:c r="J24" s="239"/>
      <x:c r="K24" s="239"/>
      <x:c r="L24" s="239"/>
      <x:c r="M24" s="239"/>
      <x:c r="N24" s="239"/>
      <x:c r="O24" s="239"/>
      <x:c r="P24" s="239"/>
      <x:c r="Q24" s="239"/>
    </x:row>
    <x:row r="25" ht="22" customHeight="1">
      <x:c r="A25" s="265" t="str">
        <x:v>AI Insights</x:v>
      </x:c>
      <x:c r="B25" s="265"/>
      <x:c r="C25" s="265"/>
      <x:c r="D25" s="239"/>
      <x:c r="E25" s="345"/>
      <x:c r="F25" s="345"/>
      <x:c r="G25" s="345"/>
      <x:c r="H25" s="345"/>
      <x:c r="I25" s="345"/>
      <x:c r="J25" s="239"/>
      <x:c r="K25" s="239"/>
      <x:c r="L25" s="239"/>
      <x:c r="M25" s="239"/>
      <x:c r="N25" s="239"/>
      <x:c r="O25" s="239"/>
      <x:c r="P25" s="239"/>
      <x:c r="Q25" s="239"/>
    </x:row>
    <x:row r="26" ht="22" customHeight="1">
      <x:c r="A26" s="265"/>
      <x:c r="B26" s="265"/>
      <x:c r="C26" s="265"/>
      <x:c r="D26" s="239"/>
      <x:c r="E26" s="345"/>
      <x:c r="F26" s="345"/>
      <x:c r="G26" s="345"/>
      <x:c r="H26" s="345"/>
      <x:c r="I26" s="345"/>
      <x:c r="J26" s="239"/>
      <x:c r="K26" s="239"/>
      <x:c r="L26" s="239"/>
      <x:c r="M26" s="239"/>
      <x:c r="N26" s="239"/>
      <x:c r="O26" s="239"/>
      <x:c r="P26" s="239"/>
      <x:c r="Q26" s="239"/>
    </x:row>
    <x:row r="27" ht="22" customHeight="1">
      <x:c r="A27" s="258"/>
      <x:c r="B27" s="258"/>
      <x:c r="C27" s="258"/>
      <x:c r="D27" s="239"/>
      <x:c r="E27" s="239"/>
      <x:c r="F27" s="239"/>
      <x:c r="G27" s="239"/>
      <x:c r="H27" s="239"/>
      <x:c r="I27" s="239"/>
      <x:c r="J27" s="239"/>
      <x:c r="K27" s="239"/>
      <x:c r="L27" s="239"/>
      <x:c r="M27" s="239"/>
      <x:c r="N27" s="239"/>
      <x:c r="O27" s="239"/>
      <x:c r="P27" s="239"/>
      <x:c r="Q27" s="239"/>
    </x:row>
    <x:row r="28" ht="22" customHeight="1">
      <x:c r="A28" s="265" t="str">
        <x:v>Reports</x:v>
      </x:c>
      <x:c r="B28" s="265"/>
      <x:c r="C28" s="265"/>
      <x:c r="D28" s="239"/>
      <x:c r="E28" s="239"/>
      <x:c r="F28" s="239"/>
      <x:c r="G28" s="239"/>
      <x:c r="H28" s="239"/>
      <x:c r="I28" s="239"/>
      <x:c r="J28" s="239"/>
      <x:c r="K28" s="239"/>
      <x:c r="L28" s="239"/>
      <x:c r="M28" s="239"/>
      <x:c r="N28" s="239"/>
      <x:c r="O28" s="239"/>
      <x:c r="P28" s="239"/>
      <x:c r="Q28" s="239"/>
    </x:row>
    <x:row r="29" ht="22" customHeight="1">
      <x:c r="A29" s="265"/>
      <x:c r="B29" s="265"/>
      <x:c r="C29" s="265"/>
      <x:c r="D29" s="239"/>
      <x:c r="E29" s="239"/>
      <x:c r="F29" s="239"/>
      <x:c r="G29" s="239"/>
      <x:c r="H29" s="239"/>
      <x:c r="I29" s="239"/>
      <x:c r="J29" s="239"/>
      <x:c r="K29" s="239"/>
      <x:c r="L29" s="239"/>
      <x:c r="M29" s="239"/>
      <x:c r="N29" s="239"/>
      <x:c r="O29" s="239"/>
      <x:c r="P29" s="239"/>
      <x:c r="Q29" s="239"/>
    </x:row>
    <x:row r="30" ht="22" customHeight="1">
      <x:c r="A30" s="258"/>
      <x:c r="B30" s="258"/>
      <x:c r="C30" s="258"/>
      <x:c r="D30" s="239"/>
      <x:c r="E30" s="239"/>
      <x:c r="F30" s="239"/>
      <x:c r="G30" s="239"/>
      <x:c r="H30" s="239"/>
      <x:c r="I30" s="239"/>
      <x:c r="J30" s="239"/>
      <x:c r="K30" s="239"/>
      <x:c r="L30" s="239"/>
      <x:c r="M30" s="239"/>
      <x:c r="N30" s="239"/>
      <x:c r="O30" s="239"/>
      <x:c r="P30" s="239"/>
      <x:c r="Q30" s="239"/>
    </x:row>
    <x:row r="31" ht="22" customHeight="1">
      <x:c r="A31" s="265" t="str">
        <x:v>Settings</x:v>
      </x:c>
      <x:c r="B31" s="265"/>
      <x:c r="C31" s="265"/>
      <x:c r="D31" s="239"/>
      <x:c r="E31" s="239"/>
      <x:c r="F31" s="239"/>
      <x:c r="G31" s="239"/>
      <x:c r="H31" s="239"/>
      <x:c r="I31" s="239"/>
      <x:c r="J31" s="239"/>
      <x:c r="K31" s="239"/>
      <x:c r="L31" s="239"/>
      <x:c r="M31" s="239"/>
      <x:c r="N31" s="239"/>
      <x:c r="O31" s="239"/>
      <x:c r="P31" s="239"/>
      <x:c r="Q31" s="239"/>
    </x:row>
    <x:row r="32" ht="22" customHeight="1">
      <x:c r="A32" s="265"/>
      <x:c r="B32" s="265"/>
      <x:c r="C32" s="265"/>
      <x:c r="D32" s="239"/>
      <x:c r="E32" s="239"/>
      <x:c r="F32" s="239"/>
      <x:c r="G32" s="239"/>
      <x:c r="H32" s="239"/>
      <x:c r="I32" s="239"/>
      <x:c r="J32" s="239"/>
      <x:c r="K32" s="239"/>
      <x:c r="L32" s="239"/>
      <x:c r="M32" s="239"/>
      <x:c r="N32" s="239"/>
      <x:c r="O32" s="239"/>
      <x:c r="P32" s="239"/>
      <x:c r="Q32" s="239"/>
    </x:row>
    <x:row r="33" ht="22" customHeight="1">
      <x:c r="A33" s="258"/>
      <x:c r="B33" s="258"/>
      <x:c r="C33" s="258"/>
      <x:c r="D33" s="239"/>
      <x:c r="E33" s="239"/>
      <x:c r="F33" s="239"/>
      <x:c r="G33" s="239"/>
      <x:c r="H33" s="239"/>
      <x:c r="I33" s="239"/>
      <x:c r="J33" s="239"/>
      <x:c r="K33" s="239"/>
      <x:c r="L33" s="239"/>
      <x:c r="M33" s="239"/>
      <x:c r="N33" s="239"/>
      <x:c r="O33" s="239"/>
      <x:c r="P33" s="239"/>
      <x:c r="Q33" s="239"/>
    </x:row>
    <x:row r="34" ht="22" customHeight="1">
      <x:c r="A34" s="258"/>
      <x:c r="B34" s="258"/>
      <x:c r="C34" s="258"/>
      <x:c r="D34" s="239"/>
      <x:c r="E34" s="239"/>
      <x:c r="F34" s="239"/>
      <x:c r="G34" s="239"/>
      <x:c r="H34" s="239"/>
      <x:c r="I34" s="239"/>
      <x:c r="J34" s="239"/>
      <x:c r="K34" s="239"/>
      <x:c r="L34" s="239"/>
      <x:c r="M34" s="239"/>
      <x:c r="N34" s="239"/>
      <x:c r="O34" s="239"/>
      <x:c r="P34" s="239"/>
      <x:c r="Q34" s="239"/>
    </x:row>
    <x:row r="35" ht="22" customHeight="1">
      <x:c r="A35" s="258"/>
      <x:c r="B35" s="258"/>
      <x:c r="C35" s="258"/>
      <x:c r="D35" s="239"/>
      <x:c r="E35" s="239"/>
      <x:c r="F35" s="239"/>
      <x:c r="G35" s="239"/>
      <x:c r="H35" s="239"/>
      <x:c r="I35" s="239"/>
      <x:c r="J35" s="239"/>
      <x:c r="K35" s="239"/>
      <x:c r="L35" s="239"/>
      <x:c r="M35" s="239"/>
      <x:c r="N35" s="239"/>
      <x:c r="O35" s="239"/>
      <x:c r="P35" s="239"/>
      <x:c r="Q35" s="239"/>
    </x:row>
    <x:row r="36" ht="22" customHeight="1">
      <x:c r="A36" s="258"/>
      <x:c r="B36" s="258"/>
      <x:c r="C36" s="258"/>
      <x:c r="D36" s="239"/>
      <x:c r="E36" s="239"/>
      <x:c r="F36" s="239"/>
      <x:c r="G36" s="239"/>
      <x:c r="H36" s="239"/>
      <x:c r="I36" s="239"/>
      <x:c r="J36" s="239"/>
      <x:c r="K36" s="239"/>
      <x:c r="L36" s="239"/>
      <x:c r="M36" s="239"/>
      <x:c r="N36" s="239"/>
      <x:c r="O36" s="239"/>
      <x:c r="P36" s="239"/>
      <x:c r="Q36" s="239"/>
    </x:row>
    <x:row r="37" ht="22" customHeight="1">
      <x:c r="A37" s="258"/>
      <x:c r="B37" s="258"/>
      <x:c r="C37" s="258"/>
      <x:c r="D37" s="239"/>
      <x:c r="E37" s="239"/>
      <x:c r="F37" s="239"/>
      <x:c r="G37" s="239"/>
      <x:c r="H37" s="239"/>
      <x:c r="I37" s="239"/>
      <x:c r="J37" s="239"/>
      <x:c r="K37" s="239"/>
      <x:c r="L37" s="239"/>
      <x:c r="M37" s="239"/>
      <x:c r="N37" s="239"/>
      <x:c r="O37" s="239"/>
      <x:c r="P37" s="239"/>
      <x:c r="Q37" s="239"/>
    </x:row>
    <x:row r="38" ht="22" customHeight="1">
      <x:c r="A38" s="258"/>
      <x:c r="B38" s="258"/>
      <x:c r="C38" s="258"/>
      <x:c r="D38" s="239"/>
      <x:c r="E38" s="239"/>
      <x:c r="F38" s="239"/>
      <x:c r="G38" s="239"/>
      <x:c r="H38" s="239"/>
      <x:c r="I38" s="239"/>
      <x:c r="J38" s="239"/>
      <x:c r="K38" s="239"/>
      <x:c r="L38" s="239"/>
      <x:c r="M38" s="239"/>
      <x:c r="N38" s="239"/>
      <x:c r="O38" s="239"/>
      <x:c r="P38" s="239"/>
      <x:c r="Q38" s="239"/>
    </x:row>
    <x:row r="39" ht="22" customHeight="1">
      <x:c r="A39" s="258"/>
      <x:c r="B39" s="258"/>
      <x:c r="C39" s="258"/>
      <x:c r="D39" s="239"/>
      <x:c r="E39" s="239"/>
      <x:c r="F39" s="239"/>
      <x:c r="G39" s="239"/>
      <x:c r="H39" s="239"/>
      <x:c r="I39" s="239"/>
      <x:c r="J39" s="239"/>
      <x:c r="K39" s="239"/>
      <x:c r="L39" s="239"/>
      <x:c r="M39" s="239"/>
      <x:c r="N39" s="239"/>
      <x:c r="O39" s="239"/>
      <x:c r="P39" s="239"/>
      <x:c r="Q39" s="239"/>
    </x:row>
    <x:row r="40" ht="22" customHeight="1">
      <x:c r="A40" s="258"/>
      <x:c r="B40" s="258"/>
      <x:c r="C40" s="258"/>
      <x:c r="D40" s="239"/>
      <x:c r="E40" s="239"/>
      <x:c r="F40" s="239"/>
      <x:c r="G40" s="239"/>
      <x:c r="H40" s="239"/>
      <x:c r="I40" s="239"/>
      <x:c r="J40" s="239"/>
      <x:c r="K40" s="239"/>
      <x:c r="L40" s="239"/>
      <x:c r="M40" s="239"/>
      <x:c r="N40" s="239"/>
      <x:c r="O40" s="239"/>
      <x:c r="P40" s="239"/>
      <x:c r="Q40" s="239"/>
    </x:row>
    <x:row r="41" ht="22" customHeight="1">
      <x:c r="A41" s="258"/>
      <x:c r="B41" s="258"/>
      <x:c r="C41" s="258"/>
      <x:c r="D41" s="239"/>
      <x:c r="E41" s="239"/>
      <x:c r="F41" s="239"/>
      <x:c r="G41" s="239"/>
      <x:c r="H41" s="239"/>
      <x:c r="I41" s="239"/>
      <x:c r="J41" s="239"/>
      <x:c r="K41" s="239"/>
      <x:c r="L41" s="239"/>
      <x:c r="M41" s="239"/>
      <x:c r="N41" s="239"/>
      <x:c r="O41" s="239"/>
      <x:c r="P41" s="239"/>
      <x:c r="Q41" s="239"/>
    </x:row>
    <x:row r="42" ht="22" customHeight="1">
      <x:c r="A42" s="258"/>
      <x:c r="B42" s="258"/>
      <x:c r="C42" s="258"/>
      <x:c r="D42" s="239"/>
      <x:c r="E42" s="239"/>
      <x:c r="F42" s="239"/>
      <x:c r="G42" s="239"/>
      <x:c r="H42" s="239"/>
      <x:c r="I42" s="239"/>
      <x:c r="J42" s="239"/>
      <x:c r="K42" s="239"/>
      <x:c r="L42" s="239"/>
      <x:c r="M42" s="239"/>
      <x:c r="N42" s="239"/>
      <x:c r="O42" s="239"/>
      <x:c r="P42" s="239"/>
      <x:c r="Q42" s="239"/>
    </x:row>
    <x:row r="43" ht="22" customHeight="1">
      <x:c r="A43" s="258"/>
      <x:c r="B43" s="258"/>
      <x:c r="C43" s="258"/>
      <x:c r="D43" s="239"/>
      <x:c r="E43" s="239"/>
      <x:c r="F43" s="239"/>
      <x:c r="G43" s="239"/>
      <x:c r="H43" s="239"/>
      <x:c r="I43" s="239"/>
      <x:c r="J43" s="239"/>
      <x:c r="K43" s="239"/>
      <x:c r="L43" s="239"/>
      <x:c r="M43" s="239"/>
      <x:c r="N43" s="239"/>
      <x:c r="O43" s="239"/>
      <x:c r="P43" s="239"/>
      <x:c r="Q43" s="239"/>
    </x:row>
    <x:row r="44" ht="22" customHeight="1">
      <x:c r="A44" s="258"/>
      <x:c r="B44" s="258"/>
      <x:c r="C44" s="258"/>
      <x:c r="D44" s="239"/>
      <x:c r="E44" s="239"/>
      <x:c r="F44" s="239"/>
      <x:c r="G44" s="239"/>
      <x:c r="H44" s="239"/>
      <x:c r="I44" s="239"/>
      <x:c r="J44" s="239"/>
      <x:c r="K44" s="239"/>
      <x:c r="L44" s="239"/>
      <x:c r="M44" s="239"/>
      <x:c r="N44" s="239"/>
      <x:c r="O44" s="239"/>
      <x:c r="P44" s="239"/>
      <x:c r="Q44" s="239"/>
    </x:row>
    <x:row r="45" ht="22" customHeight="1">
      <x:c r="A45" s="258"/>
      <x:c r="B45" s="258"/>
      <x:c r="C45" s="258"/>
      <x:c r="D45" s="239"/>
      <x:c r="E45" s="239"/>
      <x:c r="F45" s="239"/>
      <x:c r="G45" s="239"/>
      <x:c r="H45" s="239"/>
      <x:c r="I45" s="239"/>
      <x:c r="J45" s="239"/>
      <x:c r="K45" s="239"/>
      <x:c r="L45" s="239"/>
      <x:c r="M45" s="239"/>
      <x:c r="N45" s="239"/>
      <x:c r="O45" s="239"/>
      <x:c r="P45" s="239"/>
      <x:c r="Q45" s="239"/>
    </x:row>
    <x:row r="46" ht="22" customHeight="1">
      <x:c r="A46" s="258"/>
      <x:c r="B46" s="258"/>
      <x:c r="C46" s="258"/>
      <x:c r="D46" s="239"/>
      <x:c r="E46" s="239"/>
      <x:c r="F46" s="239"/>
      <x:c r="G46" s="239"/>
      <x:c r="H46" s="239"/>
      <x:c r="I46" s="239"/>
      <x:c r="J46" s="239"/>
      <x:c r="K46" s="239"/>
      <x:c r="L46" s="239"/>
      <x:c r="M46" s="239"/>
      <x:c r="N46" s="239"/>
      <x:c r="O46" s="239"/>
      <x:c r="P46" s="239"/>
      <x:c r="Q46" s="239"/>
    </x:row>
    <x:row r="47" ht="22" customHeight="1">
      <x:c r="A47" s="258"/>
      <x:c r="B47" s="258"/>
      <x:c r="C47" s="258"/>
      <x:c r="D47" s="239"/>
      <x:c r="E47" s="239"/>
      <x:c r="F47" s="239"/>
      <x:c r="G47" s="239"/>
      <x:c r="H47" s="239"/>
      <x:c r="I47" s="239"/>
      <x:c r="J47" s="239"/>
      <x:c r="K47" s="239"/>
      <x:c r="L47" s="239"/>
      <x:c r="M47" s="239"/>
      <x:c r="N47" s="239"/>
      <x:c r="O47" s="239"/>
      <x:c r="P47" s="239"/>
      <x:c r="Q47" s="239"/>
    </x:row>
    <x:row r="48" ht="22" customHeight="1">
      <x:c r="A48" s="258"/>
      <x:c r="B48" s="258"/>
      <x:c r="C48" s="258"/>
      <x:c r="D48" s="239"/>
      <x:c r="E48" s="239"/>
      <x:c r="F48" s="239"/>
      <x:c r="G48" s="239"/>
      <x:c r="H48" s="239"/>
      <x:c r="I48" s="239"/>
      <x:c r="J48" s="239"/>
      <x:c r="K48" s="239"/>
      <x:c r="L48" s="239"/>
      <x:c r="M48" s="239"/>
      <x:c r="N48" s="239"/>
      <x:c r="O48" s="239"/>
      <x:c r="P48" s="239"/>
      <x:c r="Q48" s="239"/>
    </x:row>
    <x:row r="49" ht="22" customHeight="1">
      <x:c r="A49" s="258"/>
      <x:c r="B49" s="258"/>
      <x:c r="C49" s="258"/>
      <x:c r="D49" s="239"/>
      <x:c r="E49" s="239"/>
      <x:c r="F49" s="239"/>
      <x:c r="G49" s="239"/>
      <x:c r="H49" s="239"/>
      <x:c r="I49" s="239"/>
      <x:c r="J49" s="239"/>
      <x:c r="K49" s="239"/>
      <x:c r="L49" s="239"/>
      <x:c r="M49" s="239"/>
      <x:c r="N49" s="239"/>
      <x:c r="O49" s="239"/>
      <x:c r="P49" s="239"/>
      <x:c r="Q49" s="239"/>
    </x:row>
    <x:row r="50" ht="22" customHeight="1">
      <x:c r="A50" s="258"/>
      <x:c r="B50" s="258"/>
      <x:c r="C50" s="258"/>
      <x:c r="D50" s="239"/>
      <x:c r="E50" s="239"/>
      <x:c r="F50" s="239"/>
      <x:c r="G50" s="239"/>
      <x:c r="H50" s="239"/>
      <x:c r="I50" s="239"/>
      <x:c r="J50" s="239"/>
      <x:c r="K50" s="239"/>
      <x:c r="L50" s="239"/>
      <x:c r="M50" s="239"/>
      <x:c r="N50" s="239"/>
      <x:c r="O50" s="239"/>
      <x:c r="P50" s="239"/>
      <x:c r="Q50" s="239"/>
    </x:row>
    <x:row r="51" ht="22" customHeight="1">
      <x:c r="A51" s="239"/>
      <x:c r="B51" s="239"/>
      <x:c r="C51" s="239"/>
      <x:c r="D51" s="239"/>
      <x:c r="E51" s="239"/>
      <x:c r="F51" s="239"/>
      <x:c r="G51" s="239"/>
      <x:c r="H51" s="239"/>
      <x:c r="I51" s="239"/>
      <x:c r="J51" s="239"/>
      <x:c r="K51" s="239"/>
      <x:c r="L51" s="239"/>
      <x:c r="M51" s="239"/>
      <x:c r="N51" s="239"/>
      <x:c r="O51" s="239"/>
      <x:c r="P51" s="239"/>
      <x:c r="Q51" s="239"/>
    </x:row>
    <x:row r="52" ht="22" customHeight="1">
      <x:c r="A52" s="239"/>
      <x:c r="B52" s="239"/>
      <x:c r="C52" s="239"/>
      <x:c r="D52" s="239"/>
      <x:c r="E52" s="239"/>
      <x:c r="F52" s="239"/>
      <x:c r="G52" s="239"/>
      <x:c r="H52" s="239"/>
      <x:c r="I52" s="239"/>
      <x:c r="J52" s="239"/>
      <x:c r="K52" s="239"/>
      <x:c r="L52" s="239"/>
      <x:c r="M52" s="239"/>
      <x:c r="N52" s="239"/>
      <x:c r="O52" s="239"/>
      <x:c r="P52" s="239"/>
      <x:c r="Q52" s="239"/>
    </x:row>
    <x:row r="53" ht="22" customHeight="1">
      <x:c r="A53" s="239"/>
      <x:c r="B53" s="239"/>
      <x:c r="C53" s="239"/>
      <x:c r="D53" s="239"/>
      <x:c r="E53" s="239"/>
      <x:c r="F53" s="239"/>
      <x:c r="G53" s="239"/>
      <x:c r="H53" s="239"/>
      <x:c r="I53" s="239"/>
      <x:c r="J53" s="239"/>
      <x:c r="K53" s="239"/>
      <x:c r="L53" s="239"/>
      <x:c r="M53" s="239"/>
      <x:c r="N53" s="239"/>
      <x:c r="O53" s="239"/>
      <x:c r="P53" s="239"/>
      <x:c r="Q53" s="239"/>
    </x:row>
    <x:row r="54" ht="22" customHeight="1">
      <x:c r="A54" s="239"/>
      <x:c r="B54" s="239"/>
      <x:c r="C54" s="239"/>
      <x:c r="D54" s="239"/>
      <x:c r="E54" s="239"/>
      <x:c r="F54" s="239"/>
      <x:c r="G54" s="239"/>
      <x:c r="H54" s="239"/>
      <x:c r="I54" s="239"/>
      <x:c r="J54" s="239"/>
      <x:c r="K54" s="239"/>
      <x:c r="L54" s="239"/>
      <x:c r="M54" s="239"/>
      <x:c r="N54" s="239"/>
      <x:c r="O54" s="239"/>
      <x:c r="P54" s="239"/>
      <x:c r="Q54" s="239"/>
    </x:row>
    <x:row r="55" ht="22" customHeight="1">
      <x:c r="A55" s="239"/>
      <x:c r="B55" s="239"/>
      <x:c r="C55" s="239"/>
      <x:c r="D55" s="239"/>
      <x:c r="E55" s="239"/>
      <x:c r="F55" s="239"/>
      <x:c r="G55" s="239"/>
      <x:c r="H55" s="239"/>
      <x:c r="I55" s="239"/>
      <x:c r="J55" s="239"/>
      <x:c r="K55" s="239"/>
      <x:c r="L55" s="239"/>
      <x:c r="M55" s="239"/>
      <x:c r="N55" s="239"/>
      <x:c r="O55" s="239"/>
      <x:c r="P55" s="239"/>
      <x:c r="Q55" s="239"/>
    </x:row>
    <x:row r="56" ht="22" customHeight="1">
      <x:c r="A56" s="239"/>
      <x:c r="B56" s="239"/>
      <x:c r="C56" s="239"/>
      <x:c r="D56" s="239"/>
      <x:c r="E56" s="239"/>
      <x:c r="F56" s="239"/>
      <x:c r="G56" s="239"/>
      <x:c r="H56" s="239"/>
      <x:c r="I56" s="239"/>
      <x:c r="J56" s="239"/>
      <x:c r="K56" s="239"/>
      <x:c r="L56" s="239"/>
      <x:c r="M56" s="239"/>
      <x:c r="N56" s="239"/>
      <x:c r="O56" s="239"/>
      <x:c r="P56" s="239"/>
      <x:c r="Q56" s="239"/>
    </x:row>
    <x:row r="57" ht="22" customHeight="1">
      <x:c r="A57" s="239"/>
      <x:c r="B57" s="239"/>
      <x:c r="C57" s="239"/>
      <x:c r="D57" s="239"/>
      <x:c r="E57" s="239"/>
      <x:c r="F57" s="239"/>
      <x:c r="G57" s="239"/>
      <x:c r="H57" s="239"/>
      <x:c r="I57" s="239"/>
      <x:c r="J57" s="239"/>
      <x:c r="K57" s="239"/>
      <x:c r="L57" s="239"/>
      <x:c r="M57" s="239"/>
      <x:c r="N57" s="239"/>
      <x:c r="O57" s="239"/>
      <x:c r="P57" s="239"/>
      <x:c r="Q57" s="239"/>
    </x:row>
    <x:row r="58" ht="22" customHeight="1">
      <x:c r="A58" s="239"/>
      <x:c r="B58" s="239"/>
      <x:c r="C58" s="239"/>
      <x:c r="D58" s="239"/>
      <x:c r="E58" s="239"/>
      <x:c r="F58" s="239"/>
      <x:c r="G58" s="239"/>
      <x:c r="H58" s="239"/>
      <x:c r="I58" s="239"/>
      <x:c r="J58" s="239"/>
      <x:c r="K58" s="239"/>
      <x:c r="L58" s="239"/>
      <x:c r="M58" s="239"/>
      <x:c r="N58" s="239"/>
      <x:c r="O58" s="239"/>
      <x:c r="P58" s="239"/>
      <x:c r="Q58" s="239"/>
    </x:row>
    <x:row r="59" ht="22" customHeight="1">
      <x:c r="A59" s="239"/>
      <x:c r="B59" s="239"/>
      <x:c r="C59" s="239"/>
      <x:c r="D59" s="239"/>
      <x:c r="E59" s="239"/>
      <x:c r="F59" s="239"/>
      <x:c r="G59" s="239"/>
      <x:c r="H59" s="239"/>
      <x:c r="I59" s="239"/>
      <x:c r="J59" s="239"/>
      <x:c r="K59" s="239"/>
      <x:c r="L59" s="239"/>
      <x:c r="M59" s="239"/>
      <x:c r="N59" s="239"/>
      <x:c r="O59" s="239"/>
      <x:c r="P59" s="239"/>
      <x:c r="Q59" s="239"/>
    </x:row>
    <x:row r="60" ht="22" customHeight="1">
      <x:c r="A60" s="239"/>
      <x:c r="B60" s="239"/>
      <x:c r="C60" s="239"/>
      <x:c r="D60" s="239"/>
      <x:c r="E60" s="239"/>
      <x:c r="F60" s="239"/>
      <x:c r="G60" s="239"/>
      <x:c r="H60" s="239"/>
      <x:c r="I60" s="239"/>
      <x:c r="J60" s="239"/>
      <x:c r="K60" s="239"/>
      <x:c r="L60" s="239"/>
      <x:c r="M60" s="239"/>
      <x:c r="N60" s="239"/>
      <x:c r="O60" s="239"/>
      <x:c r="P60" s="239"/>
      <x:c r="Q60" s="239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28:C29"/>
    <x:mergeCell ref="A31:C32"/>
    <x:mergeCell ref="E2:P3"/>
    <x:mergeCell ref="E22:I26"/>
  </x:mergeCells>
  <x:conditionalFormatting sqref="I7:I18">
    <x:cfRule type="colorScale" priority="1">
      <x:colorScale>
        <x:cfvo type="min"/>
        <x:cfvo type="percentile" val="50"/>
        <x:cfvo type="max"/>
        <x:color rgb="FF7F1D1D"/>
        <x:color rgb="FFB45309"/>
        <x:color rgb="FF166534"/>
      </x:colorScale>
    </x:cfRule>
  </x:conditionalFormatting>
  <x:conditionalFormatting sqref="F7:F18">
    <x:cfRule type="dataBar" priority="2">
      <x:dataBar>
        <x:cfvo type="min"/>
        <x:cfvo type="max"/>
        <x:color rgb="FF2979FF"/>
      </x:dataBar>
      <x:extLst>
        <x:ext xmlns:x14="http://schemas.microsoft.com/office/spreadsheetml/2009/9/main" uri="{B025F937-C7B1-47D3-B67F-A62EFF666E3E}">
          <x14:id>{C3D54E89-218C-B0BC-3CC2-795DF3D20053}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c88d594a0674491a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C3D54E89-218C-B0BC-3CC2-795DF3D20053}">
            <x14:dataBar gradient="1">
              <x14:cfvo type="min"/>
              <x14:cfvo type="max"/>
              <x14:fillColor rgb="FF2979FF"/>
            </x14:dataBar>
          </x14:cfRule>
          <xm:sqref>F7:F18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258"/>
      <x:c r="B1" s="258"/>
      <x:c r="C1" s="258"/>
      <x:c r="D1" s="239"/>
      <x:c r="E1" s="239"/>
      <x:c r="F1" s="239"/>
      <x:c r="G1" s="239"/>
      <x:c r="H1" s="239"/>
      <x:c r="I1" s="239"/>
      <x:c r="J1" s="239"/>
      <x:c r="K1" s="239"/>
      <x:c r="L1" s="239"/>
      <x:c r="M1" s="239"/>
      <x:c r="N1" s="239"/>
      <x:c r="O1" s="239"/>
      <x:c r="P1" s="239"/>
      <x:c r="Q1" s="239"/>
    </x:row>
    <x:row r="2" ht="22" customHeight="1">
      <x:c r="A2" s="263" t="str">
        <x:v>SalesIQ</x:v>
      </x:c>
      <x:c r="B2" s="263"/>
      <x:c r="C2" s="263"/>
      <x:c r="D2" s="239"/>
      <x:c r="E2" s="241" t="str">
        <x:v>Regional Performance</x:v>
      </x:c>
      <x:c r="F2" s="241"/>
      <x:c r="G2" s="241"/>
      <x:c r="H2" s="241"/>
      <x:c r="I2" s="241"/>
      <x:c r="J2" s="241"/>
      <x:c r="K2" s="241"/>
      <x:c r="L2" s="241"/>
      <x:c r="M2" s="241"/>
      <x:c r="N2" s="241"/>
      <x:c r="O2" s="241"/>
      <x:c r="P2" s="241"/>
      <x:c r="Q2" s="239"/>
    </x:row>
    <x:row r="3" ht="22" customHeight="1">
      <x:c r="A3" s="263"/>
      <x:c r="B3" s="263"/>
      <x:c r="C3" s="263"/>
      <x:c r="D3" s="239"/>
      <x:c r="E3" s="241"/>
      <x:c r="F3" s="241"/>
      <x:c r="G3" s="241"/>
      <x:c r="H3" s="241"/>
      <x:c r="I3" s="241"/>
      <x:c r="J3" s="241"/>
      <x:c r="K3" s="241"/>
      <x:c r="L3" s="241"/>
      <x:c r="M3" s="241"/>
      <x:c r="N3" s="241"/>
      <x:c r="O3" s="241"/>
      <x:c r="P3" s="241"/>
      <x:c r="Q3" s="239"/>
    </x:row>
    <x:row r="4" ht="22" customHeight="1">
      <x:c r="A4" s="263"/>
      <x:c r="B4" s="263"/>
      <x:c r="C4" s="263"/>
      <x:c r="D4" s="239"/>
      <x:c r="E4" s="239"/>
      <x:c r="F4" s="239"/>
      <x:c r="G4" s="239"/>
      <x:c r="H4" s="239"/>
      <x:c r="I4" s="239"/>
      <x:c r="J4" s="239"/>
      <x:c r="K4" s="239"/>
      <x:c r="L4" s="239"/>
      <x:c r="M4" s="239"/>
      <x:c r="N4" s="239"/>
      <x:c r="O4" s="239"/>
      <x:c r="P4" s="239"/>
      <x:c r="Q4" s="239"/>
    </x:row>
    <x:row r="5" ht="22" customHeight="1">
      <x:c r="A5" s="263"/>
      <x:c r="B5" s="263"/>
      <x:c r="C5" s="263"/>
      <x:c r="D5" s="239"/>
      <x:c r="E5" s="239"/>
      <x:c r="F5" s="239"/>
      <x:c r="G5" s="239"/>
      <x:c r="H5" s="239"/>
      <x:c r="I5" s="239"/>
      <x:c r="J5" s="239"/>
      <x:c r="K5" s="239"/>
      <x:c r="L5" s="239"/>
      <x:c r="M5" s="239"/>
      <x:c r="N5" s="239"/>
      <x:c r="O5" s="239"/>
      <x:c r="P5" s="239"/>
      <x:c r="Q5" s="239"/>
    </x:row>
    <x:row r="6" ht="22" customHeight="1">
      <x:c r="A6" s="258"/>
      <x:c r="B6" s="258"/>
      <x:c r="C6" s="258"/>
      <x:c r="D6" s="239"/>
      <x:c r="E6" s="238" t="str">
        <x:v>Region</x:v>
      </x:c>
      <x:c r="F6" s="238" t="str">
        <x:v>Revenue</x:v>
      </x:c>
      <x:c r="G6" s="238" t="str">
        <x:v>Profit</x:v>
      </x:c>
      <x:c r="H6" s="238" t="str">
        <x:v>Units</x:v>
      </x:c>
      <x:c r="I6" s="238" t="str">
        <x:v>Target</x:v>
      </x:c>
      <x:c r="J6" s="238" t="str">
        <x:v>Achievement %</x:v>
      </x:c>
      <x:c r="K6" s="239"/>
      <x:c r="L6" s="239"/>
      <x:c r="M6" s="239"/>
      <x:c r="N6" s="239"/>
      <x:c r="O6" s="239"/>
      <x:c r="P6" s="239"/>
      <x:c r="Q6" s="239"/>
    </x:row>
    <x:row r="7" ht="22" customHeight="1">
      <x:c r="A7" s="265" t="str">
        <x:v>Home</x:v>
      </x:c>
      <x:c r="B7" s="265"/>
      <x:c r="C7" s="265"/>
      <x:c r="D7" s="239"/>
      <x:c r="E7" s="239" t="str">
        <x:v>East</x:v>
      </x:c>
      <x:c r="F7" s="339" t="n">
        <x:f>SUMIFS(RAW_DATA!L2:L301,RAW_DATA!E2:E301,E7)</x:f>
        <x:v>13681950</x:v>
      </x:c>
      <x:c r="G7" s="339" t="n">
        <x:f>SUMIFS(RAW_DATA!N2:N301,RAW_DATA!E2:E301,E7)</x:f>
        <x:v>4041940</x:v>
      </x:c>
      <x:c r="H7" s="239" t="n">
        <x:f>SUMIFS(RAW_DATA!J2:J301,RAW_DATA!E2:E301,E7)</x:f>
        <x:v>597</x:v>
      </x:c>
      <x:c r="I7" s="339" t="n">
        <x:f>SUMIFS(RAW_DATA!R2:R301,RAW_DATA!E2:E301,E7)</x:f>
        <x:v>14693700</x:v>
      </x:c>
      <x:c r="J7" s="340" t="n">
        <x:f>IFERROR(F7/I7,0)</x:f>
        <x:v>0.9311439596561791</x:v>
      </x:c>
      <x:c r="K7" s="239"/>
      <x:c r="L7" s="239"/>
      <x:c r="M7" s="239"/>
      <x:c r="N7" s="239"/>
      <x:c r="O7" s="239"/>
      <x:c r="P7" s="239"/>
      <x:c r="Q7" s="239"/>
    </x:row>
    <x:row r="8" ht="22" customHeight="1">
      <x:c r="A8" s="265"/>
      <x:c r="B8" s="265"/>
      <x:c r="C8" s="265"/>
      <x:c r="D8" s="239"/>
      <x:c r="E8" s="239" t="str">
        <x:v>West</x:v>
      </x:c>
      <x:c r="F8" s="339" t="n">
        <x:f>SUMIFS(RAW_DATA!L2:L301,RAW_DATA!E2:E301,E8)</x:f>
        <x:v>11153570</x:v>
      </x:c>
      <x:c r="G8" s="339" t="n">
        <x:f>SUMIFS(RAW_DATA!N2:N301,RAW_DATA!E2:E301,E8)</x:f>
        <x:v>3593480</x:v>
      </x:c>
      <x:c r="H8" s="239" t="n">
        <x:f>SUMIFS(RAW_DATA!J2:J301,RAW_DATA!E2:E301,E8)</x:f>
        <x:v>621</x:v>
      </x:c>
      <x:c r="I8" s="339" t="n">
        <x:f>SUMIFS(RAW_DATA!R2:R301,RAW_DATA!E2:E301,E8)</x:f>
        <x:v>11552800</x:v>
      </x:c>
      <x:c r="J8" s="340" t="n">
        <x:f>IFERROR(F8/I8,0)</x:f>
        <x:v>0.9654430094868777</x:v>
      </x:c>
      <x:c r="K8" s="239"/>
      <x:c r="L8" s="239"/>
      <x:c r="M8" s="239"/>
      <x:c r="N8" s="239"/>
      <x:c r="O8" s="239"/>
      <x:c r="P8" s="239"/>
      <x:c r="Q8" s="239"/>
    </x:row>
    <x:row r="9" ht="22" customHeight="1">
      <x:c r="A9" s="258"/>
      <x:c r="B9" s="258"/>
      <x:c r="C9" s="258"/>
      <x:c r="D9" s="239"/>
      <x:c r="E9" s="239" t="str">
        <x:v>North</x:v>
      </x:c>
      <x:c r="F9" s="339" t="n">
        <x:f>SUMIFS(RAW_DATA!L2:L301,RAW_DATA!E2:E301,E9)</x:f>
        <x:v>8015020</x:v>
      </x:c>
      <x:c r="G9" s="339" t="n">
        <x:f>SUMIFS(RAW_DATA!N2:N301,RAW_DATA!E2:E301,E9)</x:f>
        <x:v>2759460</x:v>
      </x:c>
      <x:c r="H9" s="239" t="n">
        <x:f>SUMIFS(RAW_DATA!J2:J301,RAW_DATA!E2:E301,E9)</x:f>
        <x:v>600</x:v>
      </x:c>
      <x:c r="I9" s="339" t="n">
        <x:f>SUMIFS(RAW_DATA!R2:R301,RAW_DATA!E2:E301,E9)</x:f>
        <x:v>8291200</x:v>
      </x:c>
      <x:c r="J9" s="340" t="n">
        <x:f>IFERROR(F9/I9,0)</x:f>
        <x:v>0.9666899845619452</x:v>
      </x:c>
      <x:c r="K9" s="239"/>
      <x:c r="L9" s="239"/>
      <x:c r="M9" s="239"/>
      <x:c r="N9" s="239"/>
      <x:c r="O9" s="239"/>
      <x:c r="P9" s="239"/>
      <x:c r="Q9" s="239"/>
    </x:row>
    <x:row r="10" ht="22" customHeight="1">
      <x:c r="A10" s="265" t="str">
        <x:v>Dashboard</x:v>
      </x:c>
      <x:c r="B10" s="265"/>
      <x:c r="C10" s="265"/>
      <x:c r="D10" s="239"/>
      <x:c r="E10" s="239" t="str">
        <x:v>South</x:v>
      </x:c>
      <x:c r="F10" s="339" t="n">
        <x:f>SUMIFS(RAW_DATA!L2:L301,RAW_DATA!E2:E301,E10)</x:f>
        <x:v>10417170</x:v>
      </x:c>
      <x:c r="G10" s="339" t="n">
        <x:f>SUMIFS(RAW_DATA!N2:N301,RAW_DATA!E2:E301,E10)</x:f>
        <x:v>3316010</x:v>
      </x:c>
      <x:c r="H10" s="239" t="n">
        <x:f>SUMIFS(RAW_DATA!J2:J301,RAW_DATA!E2:E301,E10)</x:f>
        <x:v>625</x:v>
      </x:c>
      <x:c r="I10" s="339" t="n">
        <x:f>SUMIFS(RAW_DATA!R2:R301,RAW_DATA!E2:E301,E10)</x:f>
        <x:v>10899800</x:v>
      </x:c>
      <x:c r="J10" s="340" t="n">
        <x:f>IFERROR(F10/I10,0)</x:f>
        <x:v>0.9557212058936861</x:v>
      </x:c>
      <x:c r="K10" s="239"/>
      <x:c r="L10" s="239"/>
      <x:c r="M10" s="239"/>
      <x:c r="N10" s="239"/>
      <x:c r="O10" s="239"/>
      <x:c r="P10" s="239"/>
      <x:c r="Q10" s="239"/>
    </x:row>
    <x:row r="11" ht="22" customHeight="1">
      <x:c r="A11" s="265"/>
      <x:c r="B11" s="265"/>
      <x:c r="C11" s="265"/>
      <x:c r="D11" s="239"/>
      <x:c r="E11" s="239"/>
      <x:c r="F11" s="239"/>
      <x:c r="G11" s="239"/>
      <x:c r="H11" s="239"/>
      <x:c r="I11" s="239"/>
      <x:c r="J11" s="239"/>
      <x:c r="K11" s="239"/>
      <x:c r="L11" s="239"/>
      <x:c r="M11" s="239"/>
      <x:c r="N11" s="239"/>
      <x:c r="O11" s="239"/>
      <x:c r="P11" s="239"/>
      <x:c r="Q11" s="239"/>
    </x:row>
    <x:row r="12" ht="22" customHeight="1">
      <x:c r="A12" s="258"/>
      <x:c r="B12" s="258"/>
      <x:c r="C12" s="258"/>
      <x:c r="D12" s="239"/>
      <x:c r="E12" s="239"/>
      <x:c r="F12" s="239"/>
      <x:c r="G12" s="239"/>
      <x:c r="H12" s="239"/>
      <x:c r="I12" s="239"/>
      <x:c r="J12" s="239"/>
      <x:c r="K12" s="239"/>
      <x:c r="L12" s="239"/>
      <x:c r="M12" s="239"/>
      <x:c r="N12" s="239"/>
      <x:c r="O12" s="239"/>
      <x:c r="P12" s="239"/>
      <x:c r="Q12" s="239"/>
    </x:row>
    <x:row r="13" ht="22" customHeight="1">
      <x:c r="A13" s="265" t="str">
        <x:v>KPI Center</x:v>
      </x:c>
      <x:c r="B13" s="265"/>
      <x:c r="C13" s="265"/>
      <x:c r="D13" s="239"/>
      <x:c r="E13" s="239"/>
      <x:c r="F13" s="239"/>
      <x:c r="G13" s="239"/>
      <x:c r="H13" s="239"/>
      <x:c r="I13" s="239"/>
      <x:c r="J13" s="239"/>
      <x:c r="K13" s="239"/>
      <x:c r="L13" s="239"/>
      <x:c r="M13" s="239"/>
      <x:c r="N13" s="239"/>
      <x:c r="O13" s="239"/>
      <x:c r="P13" s="239"/>
      <x:c r="Q13" s="239"/>
    </x:row>
    <x:row r="14" ht="22" customHeight="1">
      <x:c r="A14" s="265"/>
      <x:c r="B14" s="265"/>
      <x:c r="C14" s="265"/>
      <x:c r="D14" s="239"/>
      <x:c r="E14" s="239"/>
      <x:c r="F14" s="239"/>
      <x:c r="G14" s="239"/>
      <x:c r="H14" s="239"/>
      <x:c r="I14" s="239"/>
      <x:c r="J14" s="239"/>
      <x:c r="K14" s="239"/>
      <x:c r="L14" s="239"/>
      <x:c r="M14" s="239"/>
      <x:c r="N14" s="239"/>
      <x:c r="O14" s="239"/>
      <x:c r="P14" s="239"/>
      <x:c r="Q14" s="239"/>
    </x:row>
    <x:row r="15" ht="22" customHeight="1">
      <x:c r="A15" s="258"/>
      <x:c r="B15" s="258"/>
      <x:c r="C15" s="258"/>
      <x:c r="D15" s="239"/>
      <x:c r="E15" s="239"/>
      <x:c r="F15" s="239"/>
      <x:c r="G15" s="239"/>
      <x:c r="H15" s="239"/>
      <x:c r="I15" s="239"/>
      <x:c r="J15" s="239"/>
      <x:c r="K15" s="239"/>
      <x:c r="L15" s="239"/>
      <x:c r="M15" s="239"/>
      <x:c r="N15" s="239"/>
      <x:c r="O15" s="239"/>
      <x:c r="P15" s="239"/>
      <x:c r="Q15" s="239"/>
    </x:row>
    <x:row r="16" ht="22" customHeight="1">
      <x:c r="A16" s="265" t="str">
        <x:v>Forecast</x:v>
      </x:c>
      <x:c r="B16" s="265"/>
      <x:c r="C16" s="265"/>
      <x:c r="D16" s="239"/>
      <x:c r="E16" s="239"/>
      <x:c r="F16" s="239"/>
      <x:c r="G16" s="239"/>
      <x:c r="H16" s="239"/>
      <x:c r="I16" s="239"/>
      <x:c r="J16" s="239"/>
      <x:c r="K16" s="239"/>
      <x:c r="L16" s="239"/>
      <x:c r="M16" s="239"/>
      <x:c r="N16" s="239"/>
      <x:c r="O16" s="239"/>
      <x:c r="P16" s="239"/>
      <x:c r="Q16" s="239"/>
    </x:row>
    <x:row r="17" ht="22" customHeight="1">
      <x:c r="A17" s="265"/>
      <x:c r="B17" s="265"/>
      <x:c r="C17" s="265"/>
      <x:c r="D17" s="239"/>
      <x:c r="E17" s="239"/>
      <x:c r="F17" s="239"/>
      <x:c r="G17" s="239"/>
      <x:c r="H17" s="239"/>
      <x:c r="I17" s="239"/>
      <x:c r="J17" s="239"/>
      <x:c r="K17" s="239"/>
      <x:c r="L17" s="239"/>
      <x:c r="M17" s="239"/>
      <x:c r="N17" s="239"/>
      <x:c r="O17" s="239"/>
      <x:c r="P17" s="239"/>
      <x:c r="Q17" s="239"/>
    </x:row>
    <x:row r="18" ht="22" customHeight="1">
      <x:c r="A18" s="258"/>
      <x:c r="B18" s="258"/>
      <x:c r="C18" s="258"/>
      <x:c r="D18" s="239"/>
      <x:c r="E18" s="239"/>
      <x:c r="F18" s="239"/>
      <x:c r="G18" s="239"/>
      <x:c r="H18" s="239"/>
      <x:c r="I18" s="239"/>
      <x:c r="J18" s="239"/>
      <x:c r="K18" s="239"/>
      <x:c r="L18" s="239"/>
      <x:c r="M18" s="239"/>
      <x:c r="N18" s="239"/>
      <x:c r="O18" s="239"/>
      <x:c r="P18" s="239"/>
      <x:c r="Q18" s="239"/>
    </x:row>
    <x:row r="19" ht="22" customHeight="1">
      <x:c r="A19" s="265" t="str">
        <x:v>Product Analysis</x:v>
      </x:c>
      <x:c r="B19" s="265"/>
      <x:c r="C19" s="265"/>
      <x:c r="D19" s="239"/>
      <x:c r="E19" s="239"/>
      <x:c r="F19" s="239"/>
      <x:c r="G19" s="239"/>
      <x:c r="H19" s="239"/>
      <x:c r="I19" s="239"/>
      <x:c r="J19" s="239"/>
      <x:c r="K19" s="239"/>
      <x:c r="L19" s="239"/>
      <x:c r="M19" s="239"/>
      <x:c r="N19" s="239"/>
      <x:c r="O19" s="239"/>
      <x:c r="P19" s="239"/>
      <x:c r="Q19" s="239"/>
    </x:row>
    <x:row r="20" ht="22" customHeight="1">
      <x:c r="A20" s="265"/>
      <x:c r="B20" s="265"/>
      <x:c r="C20" s="265"/>
      <x:c r="D20" s="239"/>
      <x:c r="E20" s="239"/>
      <x:c r="F20" s="239"/>
      <x:c r="G20" s="239"/>
      <x:c r="H20" s="239"/>
      <x:c r="I20" s="239"/>
      <x:c r="J20" s="239"/>
      <x:c r="K20" s="239"/>
      <x:c r="L20" s="239"/>
      <x:c r="M20" s="239"/>
      <x:c r="N20" s="239"/>
      <x:c r="O20" s="239"/>
      <x:c r="P20" s="239"/>
      <x:c r="Q20" s="239"/>
    </x:row>
    <x:row r="21" ht="22" customHeight="1">
      <x:c r="A21" s="258"/>
      <x:c r="B21" s="258"/>
      <x:c r="C21" s="258"/>
      <x:c r="D21" s="239"/>
      <x:c r="E21" s="239"/>
      <x:c r="F21" s="239"/>
      <x:c r="G21" s="239"/>
      <x:c r="H21" s="239"/>
      <x:c r="I21" s="239"/>
      <x:c r="J21" s="239"/>
      <x:c r="K21" s="239"/>
      <x:c r="L21" s="239"/>
      <x:c r="M21" s="239"/>
      <x:c r="N21" s="239"/>
      <x:c r="O21" s="239"/>
      <x:c r="P21" s="239"/>
      <x:c r="Q21" s="239"/>
    </x:row>
    <x:row r="22" ht="22" customHeight="1">
      <x:c r="A22" s="267" t="str">
        <x:v>Region Analysis</x:v>
      </x:c>
      <x:c r="B22" s="267"/>
      <x:c r="C22" s="267"/>
      <x:c r="D22" s="239"/>
      <x:c r="E22" s="239"/>
      <x:c r="F22" s="239"/>
      <x:c r="G22" s="239"/>
      <x:c r="H22" s="239"/>
      <x:c r="I22" s="239"/>
      <x:c r="J22" s="239"/>
      <x:c r="K22" s="239"/>
      <x:c r="L22" s="239"/>
      <x:c r="M22" s="239"/>
      <x:c r="N22" s="239"/>
      <x:c r="O22" s="239"/>
      <x:c r="P22" s="239"/>
      <x:c r="Q22" s="239"/>
    </x:row>
    <x:row r="23" ht="22" customHeight="1">
      <x:c r="A23" s="267"/>
      <x:c r="B23" s="267"/>
      <x:c r="C23" s="267"/>
      <x:c r="D23" s="239"/>
      <x:c r="E23" s="239"/>
      <x:c r="F23" s="239"/>
      <x:c r="G23" s="239"/>
      <x:c r="H23" s="239"/>
      <x:c r="I23" s="239"/>
      <x:c r="J23" s="239"/>
      <x:c r="K23" s="239"/>
      <x:c r="L23" s="239"/>
      <x:c r="M23" s="239"/>
      <x:c r="N23" s="239"/>
      <x:c r="O23" s="239"/>
      <x:c r="P23" s="239"/>
      <x:c r="Q23" s="239"/>
    </x:row>
    <x:row r="24" ht="22" customHeight="1">
      <x:c r="A24" s="258"/>
      <x:c r="B24" s="258"/>
      <x:c r="C24" s="258"/>
      <x:c r="D24" s="239"/>
      <x:c r="E24" s="239"/>
      <x:c r="F24" s="239"/>
      <x:c r="G24" s="239"/>
      <x:c r="H24" s="239"/>
      <x:c r="I24" s="239"/>
      <x:c r="J24" s="239"/>
      <x:c r="K24" s="239"/>
      <x:c r="L24" s="239"/>
      <x:c r="M24" s="239"/>
      <x:c r="N24" s="239"/>
      <x:c r="O24" s="239"/>
      <x:c r="P24" s="239"/>
      <x:c r="Q24" s="239"/>
    </x:row>
    <x:row r="25" ht="22" customHeight="1">
      <x:c r="A25" s="265" t="str">
        <x:v>AI Insights</x:v>
      </x:c>
      <x:c r="B25" s="265"/>
      <x:c r="C25" s="265"/>
      <x:c r="D25" s="239"/>
      <x:c r="E25" s="239"/>
      <x:c r="F25" s="239"/>
      <x:c r="G25" s="239"/>
      <x:c r="H25" s="239"/>
      <x:c r="I25" s="239"/>
      <x:c r="J25" s="239"/>
      <x:c r="K25" s="239"/>
      <x:c r="L25" s="239"/>
      <x:c r="M25" s="239"/>
      <x:c r="N25" s="239"/>
      <x:c r="O25" s="239"/>
      <x:c r="P25" s="239"/>
      <x:c r="Q25" s="239"/>
    </x:row>
    <x:row r="26" ht="22" customHeight="1">
      <x:c r="A26" s="265"/>
      <x:c r="B26" s="265"/>
      <x:c r="C26" s="265"/>
      <x:c r="D26" s="239"/>
      <x:c r="E26" s="239"/>
      <x:c r="F26" s="239"/>
      <x:c r="G26" s="239"/>
      <x:c r="H26" s="239"/>
      <x:c r="I26" s="239"/>
      <x:c r="J26" s="239"/>
      <x:c r="K26" s="239"/>
      <x:c r="L26" s="239"/>
      <x:c r="M26" s="239"/>
      <x:c r="N26" s="239"/>
      <x:c r="O26" s="239"/>
      <x:c r="P26" s="239"/>
      <x:c r="Q26" s="239"/>
    </x:row>
    <x:row r="27" ht="22" customHeight="1">
      <x:c r="A27" s="258"/>
      <x:c r="B27" s="258"/>
      <x:c r="C27" s="258"/>
      <x:c r="D27" s="239"/>
      <x:c r="E27" s="239"/>
      <x:c r="F27" s="239"/>
      <x:c r="G27" s="239"/>
      <x:c r="H27" s="239"/>
      <x:c r="I27" s="239"/>
      <x:c r="J27" s="239"/>
      <x:c r="K27" s="239"/>
      <x:c r="L27" s="239"/>
      <x:c r="M27" s="239"/>
      <x:c r="N27" s="239"/>
      <x:c r="O27" s="239"/>
      <x:c r="P27" s="239"/>
      <x:c r="Q27" s="239"/>
    </x:row>
    <x:row r="28" ht="22" customHeight="1">
      <x:c r="A28" s="265" t="str">
        <x:v>Reports</x:v>
      </x:c>
      <x:c r="B28" s="265"/>
      <x:c r="C28" s="265"/>
      <x:c r="D28" s="239"/>
      <x:c r="E28" s="239"/>
      <x:c r="F28" s="239"/>
      <x:c r="G28" s="239"/>
      <x:c r="H28" s="239"/>
      <x:c r="I28" s="239"/>
      <x:c r="J28" s="239"/>
      <x:c r="K28" s="239"/>
      <x:c r="L28" s="239"/>
      <x:c r="M28" s="239"/>
      <x:c r="N28" s="239"/>
      <x:c r="O28" s="239"/>
      <x:c r="P28" s="239"/>
      <x:c r="Q28" s="239"/>
    </x:row>
    <x:row r="29" ht="22" customHeight="1">
      <x:c r="A29" s="265"/>
      <x:c r="B29" s="265"/>
      <x:c r="C29" s="265"/>
      <x:c r="D29" s="239"/>
      <x:c r="E29" s="239"/>
      <x:c r="F29" s="239"/>
      <x:c r="G29" s="239"/>
      <x:c r="H29" s="239"/>
      <x:c r="I29" s="239"/>
      <x:c r="J29" s="239"/>
      <x:c r="K29" s="239"/>
      <x:c r="L29" s="239"/>
      <x:c r="M29" s="239"/>
      <x:c r="N29" s="239"/>
      <x:c r="O29" s="239"/>
      <x:c r="P29" s="239"/>
      <x:c r="Q29" s="239"/>
    </x:row>
    <x:row r="30" ht="22" customHeight="1">
      <x:c r="A30" s="258"/>
      <x:c r="B30" s="258"/>
      <x:c r="C30" s="258"/>
      <x:c r="D30" s="239"/>
      <x:c r="E30" s="239"/>
      <x:c r="F30" s="239"/>
      <x:c r="G30" s="239"/>
      <x:c r="H30" s="239"/>
      <x:c r="I30" s="239"/>
      <x:c r="J30" s="239"/>
      <x:c r="K30" s="239"/>
      <x:c r="L30" s="239"/>
      <x:c r="M30" s="239"/>
      <x:c r="N30" s="239"/>
      <x:c r="O30" s="239"/>
      <x:c r="P30" s="239"/>
      <x:c r="Q30" s="239"/>
    </x:row>
    <x:row r="31" ht="22" customHeight="1">
      <x:c r="A31" s="265" t="str">
        <x:v>Settings</x:v>
      </x:c>
      <x:c r="B31" s="265"/>
      <x:c r="C31" s="265"/>
      <x:c r="D31" s="239"/>
      <x:c r="E31" s="239"/>
      <x:c r="F31" s="239"/>
      <x:c r="G31" s="239"/>
      <x:c r="H31" s="239"/>
      <x:c r="I31" s="239"/>
      <x:c r="J31" s="239"/>
      <x:c r="K31" s="239"/>
      <x:c r="L31" s="239"/>
      <x:c r="M31" s="239"/>
      <x:c r="N31" s="239"/>
      <x:c r="O31" s="239"/>
      <x:c r="P31" s="239"/>
      <x:c r="Q31" s="239"/>
    </x:row>
    <x:row r="32" ht="22" customHeight="1">
      <x:c r="A32" s="265"/>
      <x:c r="B32" s="265"/>
      <x:c r="C32" s="265"/>
      <x:c r="D32" s="239"/>
      <x:c r="E32" s="238" t="str">
        <x:v>Region</x:v>
      </x:c>
      <x:c r="F32" s="238" t="str">
        <x:v>Online Revenue</x:v>
      </x:c>
      <x:c r="G32" s="238" t="str">
        <x:v>Offline Revenue</x:v>
      </x:c>
      <x:c r="H32" s="239"/>
      <x:c r="I32" s="239"/>
      <x:c r="J32" s="239"/>
      <x:c r="K32" s="239"/>
      <x:c r="L32" s="239"/>
      <x:c r="M32" s="239"/>
      <x:c r="N32" s="239"/>
      <x:c r="O32" s="239"/>
      <x:c r="P32" s="239"/>
      <x:c r="Q32" s="239"/>
    </x:row>
    <x:row r="33" ht="22" customHeight="1">
      <x:c r="A33" s="258"/>
      <x:c r="B33" s="258"/>
      <x:c r="C33" s="258"/>
      <x:c r="D33" s="239"/>
      <x:c r="E33" s="239" t="str">
        <x:v>East</x:v>
      </x:c>
      <x:c r="F33" s="339" t="n">
        <x:f>SUMIFS(RAW_DATA!L2:L301,RAW_DATA!E2:E301,E33,RAW_DATA!Q2:Q301,"Online")</x:f>
        <x:v>6611730</x:v>
      </x:c>
      <x:c r="G33" s="339" t="n">
        <x:f>SUMIFS(RAW_DATA!L2:L301,RAW_DATA!E2:E301,E33,RAW_DATA!Q2:Q301,"Offline")</x:f>
        <x:v>7070220</x:v>
      </x:c>
      <x:c r="H33" s="239"/>
      <x:c r="I33" s="239"/>
      <x:c r="J33" s="239"/>
      <x:c r="K33" s="239"/>
      <x:c r="L33" s="239"/>
      <x:c r="M33" s="239"/>
      <x:c r="N33" s="239"/>
      <x:c r="O33" s="239"/>
      <x:c r="P33" s="239"/>
      <x:c r="Q33" s="239"/>
    </x:row>
    <x:row r="34" ht="22" customHeight="1">
      <x:c r="A34" s="258"/>
      <x:c r="B34" s="258"/>
      <x:c r="C34" s="258"/>
      <x:c r="D34" s="239"/>
      <x:c r="E34" s="239" t="str">
        <x:v>West</x:v>
      </x:c>
      <x:c r="F34" s="339" t="n">
        <x:f>SUMIFS(RAW_DATA!L2:L301,RAW_DATA!E2:E301,E34,RAW_DATA!Q2:Q301,"Online")</x:f>
        <x:v>5438490</x:v>
      </x:c>
      <x:c r="G34" s="339" t="n">
        <x:f>SUMIFS(RAW_DATA!L2:L301,RAW_DATA!E2:E301,E34,RAW_DATA!Q2:Q301,"Offline")</x:f>
        <x:v>5715080</x:v>
      </x:c>
      <x:c r="H34" s="239"/>
      <x:c r="I34" s="239"/>
      <x:c r="J34" s="239"/>
      <x:c r="K34" s="239"/>
      <x:c r="L34" s="239"/>
      <x:c r="M34" s="239"/>
      <x:c r="N34" s="239"/>
      <x:c r="O34" s="239"/>
      <x:c r="P34" s="239"/>
      <x:c r="Q34" s="239"/>
    </x:row>
    <x:row r="35" ht="22" customHeight="1">
      <x:c r="A35" s="258"/>
      <x:c r="B35" s="258"/>
      <x:c r="C35" s="258"/>
      <x:c r="D35" s="239"/>
      <x:c r="E35" s="239" t="str">
        <x:v>North</x:v>
      </x:c>
      <x:c r="F35" s="339" t="n">
        <x:f>SUMIFS(RAW_DATA!L2:L301,RAW_DATA!E2:E301,E35,RAW_DATA!Q2:Q301,"Online")</x:f>
        <x:v>3329380</x:v>
      </x:c>
      <x:c r="G35" s="339" t="n">
        <x:f>SUMIFS(RAW_DATA!L2:L301,RAW_DATA!E2:E301,E35,RAW_DATA!Q2:Q301,"Offline")</x:f>
        <x:v>4685640</x:v>
      </x:c>
      <x:c r="H35" s="239"/>
      <x:c r="I35" s="239"/>
      <x:c r="J35" s="239"/>
      <x:c r="K35" s="239"/>
      <x:c r="L35" s="239"/>
      <x:c r="M35" s="239"/>
      <x:c r="N35" s="239"/>
      <x:c r="O35" s="239"/>
      <x:c r="P35" s="239"/>
      <x:c r="Q35" s="239"/>
    </x:row>
    <x:row r="36" ht="22" customHeight="1">
      <x:c r="A36" s="258"/>
      <x:c r="B36" s="258"/>
      <x:c r="C36" s="258"/>
      <x:c r="D36" s="239"/>
      <x:c r="E36" s="239" t="str">
        <x:v>South</x:v>
      </x:c>
      <x:c r="F36" s="339" t="n">
        <x:f>SUMIFS(RAW_DATA!L2:L301,RAW_DATA!E2:E301,E36,RAW_DATA!Q2:Q301,"Online")</x:f>
        <x:v>4031440</x:v>
      </x:c>
      <x:c r="G36" s="339" t="n">
        <x:f>SUMIFS(RAW_DATA!L2:L301,RAW_DATA!E2:E301,E36,RAW_DATA!Q2:Q301,"Offline")</x:f>
        <x:v>6385730</x:v>
      </x:c>
      <x:c r="H36" s="239"/>
      <x:c r="I36" s="239"/>
      <x:c r="J36" s="239"/>
      <x:c r="K36" s="239"/>
      <x:c r="L36" s="239"/>
      <x:c r="M36" s="239"/>
      <x:c r="N36" s="239"/>
      <x:c r="O36" s="239"/>
      <x:c r="P36" s="239"/>
      <x:c r="Q36" s="239"/>
    </x:row>
    <x:row r="37" ht="22" customHeight="1">
      <x:c r="A37" s="258"/>
      <x:c r="B37" s="258"/>
      <x:c r="C37" s="258"/>
      <x:c r="D37" s="239"/>
      <x:c r="E37" s="239"/>
      <x:c r="F37" s="239"/>
      <x:c r="G37" s="239"/>
      <x:c r="H37" s="239"/>
      <x:c r="I37" s="239"/>
      <x:c r="J37" s="239"/>
      <x:c r="K37" s="239"/>
      <x:c r="L37" s="239"/>
      <x:c r="M37" s="239"/>
      <x:c r="N37" s="239"/>
      <x:c r="O37" s="239"/>
      <x:c r="P37" s="239"/>
      <x:c r="Q37" s="239"/>
    </x:row>
    <x:row r="38" ht="22" customHeight="1">
      <x:c r="A38" s="258"/>
      <x:c r="B38" s="258"/>
      <x:c r="C38" s="258"/>
      <x:c r="D38" s="239"/>
      <x:c r="E38" s="239"/>
      <x:c r="F38" s="239"/>
      <x:c r="G38" s="239"/>
      <x:c r="H38" s="239"/>
      <x:c r="I38" s="239"/>
      <x:c r="J38" s="239"/>
      <x:c r="K38" s="239"/>
      <x:c r="L38" s="239"/>
      <x:c r="M38" s="239"/>
      <x:c r="N38" s="239"/>
      <x:c r="O38" s="239"/>
      <x:c r="P38" s="239"/>
      <x:c r="Q38" s="239"/>
    </x:row>
    <x:row r="39" ht="22" customHeight="1">
      <x:c r="A39" s="258"/>
      <x:c r="B39" s="258"/>
      <x:c r="C39" s="258"/>
      <x:c r="D39" s="239"/>
      <x:c r="E39" s="239"/>
      <x:c r="F39" s="239"/>
      <x:c r="G39" s="239"/>
      <x:c r="H39" s="239"/>
      <x:c r="I39" s="239"/>
      <x:c r="J39" s="239"/>
      <x:c r="K39" s="239"/>
      <x:c r="L39" s="239"/>
      <x:c r="M39" s="239"/>
      <x:c r="N39" s="239"/>
      <x:c r="O39" s="239"/>
      <x:c r="P39" s="239"/>
      <x:c r="Q39" s="239"/>
    </x:row>
    <x:row r="40" ht="22" customHeight="1">
      <x:c r="A40" s="258"/>
      <x:c r="B40" s="258"/>
      <x:c r="C40" s="258"/>
      <x:c r="D40" s="239"/>
      <x:c r="E40" s="239"/>
      <x:c r="F40" s="239"/>
      <x:c r="G40" s="239"/>
      <x:c r="H40" s="239"/>
      <x:c r="I40" s="239"/>
      <x:c r="J40" s="239"/>
      <x:c r="K40" s="239"/>
      <x:c r="L40" s="239"/>
      <x:c r="M40" s="239"/>
      <x:c r="N40" s="239"/>
      <x:c r="O40" s="239"/>
      <x:c r="P40" s="239"/>
      <x:c r="Q40" s="239"/>
    </x:row>
    <x:row r="41" ht="22" customHeight="1">
      <x:c r="A41" s="258"/>
      <x:c r="B41" s="258"/>
      <x:c r="C41" s="258"/>
      <x:c r="D41" s="239"/>
      <x:c r="E41" s="239"/>
      <x:c r="F41" s="239"/>
      <x:c r="G41" s="239"/>
      <x:c r="H41" s="239"/>
      <x:c r="I41" s="239"/>
      <x:c r="J41" s="239"/>
      <x:c r="K41" s="239"/>
      <x:c r="L41" s="239"/>
      <x:c r="M41" s="239"/>
      <x:c r="N41" s="239"/>
      <x:c r="O41" s="239"/>
      <x:c r="P41" s="239"/>
      <x:c r="Q41" s="239"/>
    </x:row>
    <x:row r="42" ht="22" customHeight="1">
      <x:c r="A42" s="258"/>
      <x:c r="B42" s="258"/>
      <x:c r="C42" s="258"/>
      <x:c r="D42" s="239"/>
      <x:c r="E42" s="239"/>
      <x:c r="F42" s="239"/>
      <x:c r="G42" s="239"/>
      <x:c r="H42" s="239"/>
      <x:c r="I42" s="239"/>
      <x:c r="J42" s="239"/>
      <x:c r="K42" s="239"/>
      <x:c r="L42" s="239"/>
      <x:c r="M42" s="239"/>
      <x:c r="N42" s="239"/>
      <x:c r="O42" s="239"/>
      <x:c r="P42" s="239"/>
      <x:c r="Q42" s="239"/>
    </x:row>
    <x:row r="43" ht="22" customHeight="1">
      <x:c r="A43" s="258"/>
      <x:c r="B43" s="258"/>
      <x:c r="C43" s="258"/>
      <x:c r="D43" s="239"/>
      <x:c r="E43" s="239"/>
      <x:c r="F43" s="239"/>
      <x:c r="G43" s="239"/>
      <x:c r="H43" s="239"/>
      <x:c r="I43" s="239"/>
      <x:c r="J43" s="239"/>
      <x:c r="K43" s="239"/>
      <x:c r="L43" s="239"/>
      <x:c r="M43" s="239"/>
      <x:c r="N43" s="239"/>
      <x:c r="O43" s="239"/>
      <x:c r="P43" s="239"/>
      <x:c r="Q43" s="239"/>
    </x:row>
    <x:row r="44" ht="22" customHeight="1">
      <x:c r="A44" s="258"/>
      <x:c r="B44" s="258"/>
      <x:c r="C44" s="258"/>
      <x:c r="D44" s="239"/>
      <x:c r="E44" s="239"/>
      <x:c r="F44" s="239"/>
      <x:c r="G44" s="239"/>
      <x:c r="H44" s="239"/>
      <x:c r="I44" s="239"/>
      <x:c r="J44" s="239"/>
      <x:c r="K44" s="239"/>
      <x:c r="L44" s="239"/>
      <x:c r="M44" s="239"/>
      <x:c r="N44" s="239"/>
      <x:c r="O44" s="239"/>
      <x:c r="P44" s="239"/>
      <x:c r="Q44" s="239"/>
    </x:row>
    <x:row r="45" ht="22" customHeight="1">
      <x:c r="A45" s="258"/>
      <x:c r="B45" s="258"/>
      <x:c r="C45" s="258"/>
      <x:c r="D45" s="239"/>
      <x:c r="E45" s="239"/>
      <x:c r="F45" s="239"/>
      <x:c r="G45" s="239"/>
      <x:c r="H45" s="239"/>
      <x:c r="I45" s="239"/>
      <x:c r="J45" s="239"/>
      <x:c r="K45" s="239"/>
      <x:c r="L45" s="239"/>
      <x:c r="M45" s="239"/>
      <x:c r="N45" s="239"/>
      <x:c r="O45" s="239"/>
      <x:c r="P45" s="239"/>
      <x:c r="Q45" s="239"/>
    </x:row>
    <x:row r="46" ht="22" customHeight="1">
      <x:c r="A46" s="258"/>
      <x:c r="B46" s="258"/>
      <x:c r="C46" s="258"/>
      <x:c r="D46" s="239"/>
      <x:c r="E46" s="239"/>
      <x:c r="F46" s="239"/>
      <x:c r="G46" s="239"/>
      <x:c r="H46" s="239"/>
      <x:c r="I46" s="239"/>
      <x:c r="J46" s="239"/>
      <x:c r="K46" s="239"/>
      <x:c r="L46" s="239"/>
      <x:c r="M46" s="239"/>
      <x:c r="N46" s="239"/>
      <x:c r="O46" s="239"/>
      <x:c r="P46" s="239"/>
      <x:c r="Q46" s="239"/>
    </x:row>
    <x:row r="47" ht="22" customHeight="1">
      <x:c r="A47" s="258"/>
      <x:c r="B47" s="258"/>
      <x:c r="C47" s="258"/>
      <x:c r="D47" s="239"/>
      <x:c r="E47" s="239"/>
      <x:c r="F47" s="239"/>
      <x:c r="G47" s="239"/>
      <x:c r="H47" s="239"/>
      <x:c r="I47" s="239"/>
      <x:c r="J47" s="239"/>
      <x:c r="K47" s="239"/>
      <x:c r="L47" s="239"/>
      <x:c r="M47" s="239"/>
      <x:c r="N47" s="239"/>
      <x:c r="O47" s="239"/>
      <x:c r="P47" s="239"/>
      <x:c r="Q47" s="239"/>
    </x:row>
    <x:row r="48" ht="22" customHeight="1">
      <x:c r="A48" s="258"/>
      <x:c r="B48" s="258"/>
      <x:c r="C48" s="258"/>
      <x:c r="D48" s="239"/>
      <x:c r="E48" s="239"/>
      <x:c r="F48" s="239"/>
      <x:c r="G48" s="239"/>
      <x:c r="H48" s="239"/>
      <x:c r="I48" s="239"/>
      <x:c r="J48" s="239"/>
      <x:c r="K48" s="239"/>
      <x:c r="L48" s="239"/>
      <x:c r="M48" s="239"/>
      <x:c r="N48" s="239"/>
      <x:c r="O48" s="239"/>
      <x:c r="P48" s="239"/>
      <x:c r="Q48" s="239"/>
    </x:row>
    <x:row r="49" ht="22" customHeight="1">
      <x:c r="A49" s="258"/>
      <x:c r="B49" s="258"/>
      <x:c r="C49" s="258"/>
      <x:c r="D49" s="239"/>
      <x:c r="E49" s="239"/>
      <x:c r="F49" s="239"/>
      <x:c r="G49" s="239"/>
      <x:c r="H49" s="239"/>
      <x:c r="I49" s="239"/>
      <x:c r="J49" s="239"/>
      <x:c r="K49" s="239"/>
      <x:c r="L49" s="239"/>
      <x:c r="M49" s="239"/>
      <x:c r="N49" s="239"/>
      <x:c r="O49" s="239"/>
      <x:c r="P49" s="239"/>
      <x:c r="Q49" s="239"/>
    </x:row>
    <x:row r="50" ht="22" customHeight="1">
      <x:c r="A50" s="258"/>
      <x:c r="B50" s="258"/>
      <x:c r="C50" s="258"/>
      <x:c r="D50" s="239"/>
      <x:c r="E50" s="239"/>
      <x:c r="F50" s="239"/>
      <x:c r="G50" s="239"/>
      <x:c r="H50" s="239"/>
      <x:c r="I50" s="239"/>
      <x:c r="J50" s="239"/>
      <x:c r="K50" s="239"/>
      <x:c r="L50" s="239"/>
      <x:c r="M50" s="239"/>
      <x:c r="N50" s="239"/>
      <x:c r="O50" s="239"/>
      <x:c r="P50" s="239"/>
      <x:c r="Q50" s="239"/>
    </x:row>
    <x:row r="51" ht="22" customHeight="1">
      <x:c r="A51" s="239"/>
      <x:c r="B51" s="239"/>
      <x:c r="C51" s="239"/>
      <x:c r="D51" s="239"/>
      <x:c r="E51" s="239"/>
      <x:c r="F51" s="239"/>
      <x:c r="G51" s="239"/>
      <x:c r="H51" s="239"/>
      <x:c r="I51" s="239"/>
      <x:c r="J51" s="239"/>
      <x:c r="K51" s="239"/>
      <x:c r="L51" s="239"/>
      <x:c r="M51" s="239"/>
      <x:c r="N51" s="239"/>
      <x:c r="O51" s="239"/>
      <x:c r="P51" s="239"/>
      <x:c r="Q51" s="239"/>
    </x:row>
    <x:row r="52" ht="22" customHeight="1">
      <x:c r="A52" s="239"/>
      <x:c r="B52" s="239"/>
      <x:c r="C52" s="239"/>
      <x:c r="D52" s="239"/>
      <x:c r="E52" s="239"/>
      <x:c r="F52" s="239"/>
      <x:c r="G52" s="239"/>
      <x:c r="H52" s="239"/>
      <x:c r="I52" s="239"/>
      <x:c r="J52" s="239"/>
      <x:c r="K52" s="239"/>
      <x:c r="L52" s="239"/>
      <x:c r="M52" s="239"/>
      <x:c r="N52" s="239"/>
      <x:c r="O52" s="239"/>
      <x:c r="P52" s="239"/>
      <x:c r="Q52" s="239"/>
    </x:row>
    <x:row r="53" ht="22" customHeight="1">
      <x:c r="A53" s="239"/>
      <x:c r="B53" s="239"/>
      <x:c r="C53" s="239"/>
      <x:c r="D53" s="239"/>
      <x:c r="E53" s="239"/>
      <x:c r="F53" s="239"/>
      <x:c r="G53" s="239"/>
      <x:c r="H53" s="239"/>
      <x:c r="I53" s="239"/>
      <x:c r="J53" s="239"/>
      <x:c r="K53" s="239"/>
      <x:c r="L53" s="239"/>
      <x:c r="M53" s="239"/>
      <x:c r="N53" s="239"/>
      <x:c r="O53" s="239"/>
      <x:c r="P53" s="239"/>
      <x:c r="Q53" s="239"/>
    </x:row>
    <x:row r="54" ht="22" customHeight="1">
      <x:c r="A54" s="239"/>
      <x:c r="B54" s="239"/>
      <x:c r="C54" s="239"/>
      <x:c r="D54" s="239"/>
      <x:c r="E54" s="239"/>
      <x:c r="F54" s="239"/>
      <x:c r="G54" s="239"/>
      <x:c r="H54" s="239"/>
      <x:c r="I54" s="239"/>
      <x:c r="J54" s="239"/>
      <x:c r="K54" s="239"/>
      <x:c r="L54" s="239"/>
      <x:c r="M54" s="239"/>
      <x:c r="N54" s="239"/>
      <x:c r="O54" s="239"/>
      <x:c r="P54" s="239"/>
      <x:c r="Q54" s="239"/>
    </x:row>
    <x:row r="55" ht="22" customHeight="1">
      <x:c r="A55" s="239"/>
      <x:c r="B55" s="239"/>
      <x:c r="C55" s="239"/>
      <x:c r="D55" s="239"/>
      <x:c r="E55" s="239"/>
      <x:c r="F55" s="239"/>
      <x:c r="G55" s="239"/>
      <x:c r="H55" s="239"/>
      <x:c r="I55" s="239"/>
      <x:c r="J55" s="239"/>
      <x:c r="K55" s="239"/>
      <x:c r="L55" s="239"/>
      <x:c r="M55" s="239"/>
      <x:c r="N55" s="239"/>
      <x:c r="O55" s="239"/>
      <x:c r="P55" s="239"/>
      <x:c r="Q55" s="239"/>
    </x:row>
    <x:row r="56" ht="22" customHeight="1">
      <x:c r="A56" s="239"/>
      <x:c r="B56" s="239"/>
      <x:c r="C56" s="239"/>
      <x:c r="D56" s="239"/>
      <x:c r="E56" s="239"/>
      <x:c r="F56" s="239"/>
      <x:c r="G56" s="239"/>
      <x:c r="H56" s="239"/>
      <x:c r="I56" s="239"/>
      <x:c r="J56" s="239"/>
      <x:c r="K56" s="239"/>
      <x:c r="L56" s="239"/>
      <x:c r="M56" s="239"/>
      <x:c r="N56" s="239"/>
      <x:c r="O56" s="239"/>
      <x:c r="P56" s="239"/>
      <x:c r="Q56" s="239"/>
    </x:row>
    <x:row r="57" ht="22" customHeight="1">
      <x:c r="A57" s="239"/>
      <x:c r="B57" s="239"/>
      <x:c r="C57" s="239"/>
      <x:c r="D57" s="239"/>
      <x:c r="E57" s="239"/>
      <x:c r="F57" s="239"/>
      <x:c r="G57" s="239"/>
      <x:c r="H57" s="239"/>
      <x:c r="I57" s="239"/>
      <x:c r="J57" s="239"/>
      <x:c r="K57" s="239"/>
      <x:c r="L57" s="239"/>
      <x:c r="M57" s="239"/>
      <x:c r="N57" s="239"/>
      <x:c r="O57" s="239"/>
      <x:c r="P57" s="239"/>
      <x:c r="Q57" s="239"/>
    </x:row>
    <x:row r="58" ht="22" customHeight="1">
      <x:c r="A58" s="239"/>
      <x:c r="B58" s="239"/>
      <x:c r="C58" s="239"/>
      <x:c r="D58" s="239"/>
      <x:c r="E58" s="239"/>
      <x:c r="F58" s="239"/>
      <x:c r="G58" s="239"/>
      <x:c r="H58" s="239"/>
      <x:c r="I58" s="239"/>
      <x:c r="J58" s="239"/>
      <x:c r="K58" s="239"/>
      <x:c r="L58" s="239"/>
      <x:c r="M58" s="239"/>
      <x:c r="N58" s="239"/>
      <x:c r="O58" s="239"/>
      <x:c r="P58" s="239"/>
      <x:c r="Q58" s="239"/>
    </x:row>
    <x:row r="59" ht="22" customHeight="1">
      <x:c r="A59" s="239"/>
      <x:c r="B59" s="239"/>
      <x:c r="C59" s="239"/>
      <x:c r="D59" s="239"/>
      <x:c r="E59" s="239"/>
      <x:c r="F59" s="239"/>
      <x:c r="G59" s="239"/>
      <x:c r="H59" s="239"/>
      <x:c r="I59" s="239"/>
      <x:c r="J59" s="239"/>
      <x:c r="K59" s="239"/>
      <x:c r="L59" s="239"/>
      <x:c r="M59" s="239"/>
      <x:c r="N59" s="239"/>
      <x:c r="O59" s="239"/>
      <x:c r="P59" s="239"/>
      <x:c r="Q59" s="239"/>
    </x:row>
    <x:row r="60" ht="22" customHeight="1">
      <x:c r="A60" s="239"/>
      <x:c r="B60" s="239"/>
      <x:c r="C60" s="239"/>
      <x:c r="D60" s="239"/>
      <x:c r="E60" s="239"/>
      <x:c r="F60" s="239"/>
      <x:c r="G60" s="239"/>
      <x:c r="H60" s="239"/>
      <x:c r="I60" s="239"/>
      <x:c r="J60" s="239"/>
      <x:c r="K60" s="239"/>
      <x:c r="L60" s="239"/>
      <x:c r="M60" s="239"/>
      <x:c r="N60" s="239"/>
      <x:c r="O60" s="239"/>
      <x:c r="P60" s="239"/>
      <x:c r="Q60" s="239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28:C29"/>
    <x:mergeCell ref="A31:C32"/>
    <x:mergeCell ref="E2:P3"/>
  </x:mergeCells>
  <x:conditionalFormatting sqref="J7:J10">
    <x:cfRule type="colorScale" priority="1">
      <x:colorScale>
        <x:cfvo type="min"/>
        <x:cfvo type="percentile" val="50"/>
        <x:cfvo type="max"/>
        <x:color rgb="FF7F1D1D"/>
        <x:color rgb="FFB45309"/>
        <x:color rgb="FF166534"/>
      </x:colorScale>
    </x:cfRule>
  </x:conditionalFormatting>
  <x:conditionalFormatting sqref="F33:G36">
    <x:cfRule type="colorScale" priority="2">
      <x:colorScale>
        <x:cfvo type="min"/>
        <x:cfvo type="percentile" val="50"/>
        <x:cfvo type="max"/>
        <x:color rgb="FF0B2748"/>
        <x:color rgb="FF2563EB"/>
        <x:color rgb="FF22D3EE"/>
      </x:colorScale>
    </x:cfRule>
  </x:conditionalFormatting>
  <x:pageMargins left="0.7" right="0.7" top="0.75" bottom="0.75" header="0.3" footer="0.3"/>
  <x:drawing xmlns:r="http://schemas.openxmlformats.org/officeDocument/2006/relationships" r:id="R91d542c9bf5b429a"/>
</x:worksheet>
</file>