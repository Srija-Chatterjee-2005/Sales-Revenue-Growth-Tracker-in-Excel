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bookViews>
    <workbookView/>
  </bookViews>
  <sheets>
    <sheet name="Home" sheetId="1" r:id="rId1"/>
    <sheet name="Dashboard" sheetId="2" r:id="rId2"/>
    <sheet name="KPI_Center" sheetId="3" r:id="rId3"/>
    <sheet name="Forecast" sheetId="4" r:id="rId4"/>
    <sheet name="Reports" sheetId="5" r:id="rId5"/>
    <sheet name="Data_Dictionary" sheetId="6" r:id="rId6"/>
    <sheet name="Settings" sheetId="7" r:id="rId7"/>
    <sheet name="RAW_DATA" sheetId="8" r:id="rId8"/>
    <sheet name="Lists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<sst xmlns="http://schemas.openxmlformats.org/spreadsheetml/2006/main" count="3578" uniqueCount="483">
  <si>
    <t>SalesIQ</t>
  </si>
  <si>
    <t>TOTAL REVENUE</t>
  </si>
  <si>
    <t>Welcome to SalesIQ</t>
  </si>
  <si>
    <t>Premium Sales &amp; Revenue Intelligence Dashboard
Upload sales data, explore interactive dashboards, track KPIs, forecast future performance and generate executive reports.</t>
  </si>
  <si>
    <t>Home</t>
  </si>
  <si>
    <t>Dashboard</t>
  </si>
  <si>
    <t>UPLOAD CSV
Import your sales data
from CSV file
OPEN</t>
  </si>
  <si>
    <t>OPEN DASHBOARD
View interactive dashboards
and analytics
OPEN</t>
  </si>
  <si>
    <t>KPI CENTER
Track key performance
indicators
OPEN</t>
  </si>
  <si>
    <t>FORECAST
Predict future sales &amp;
revenue
OPEN</t>
  </si>
  <si>
    <t>KPI Center</t>
  </si>
  <si>
    <t>Forecast</t>
  </si>
  <si>
    <t>Reports</t>
  </si>
  <si>
    <t>LIVE BUSINESS SNAPSHOT</t>
  </si>
  <si>
    <t>Data Dictionary</t>
  </si>
  <si>
    <t>Settings</t>
  </si>
  <si>
    <t>Tip: Use the Upload CSV button in the final macro-enabled workbook. All dashboards will refresh automatically after import.</t>
  </si>
  <si>
    <t>Last Updated
07-Aug-2026
10:51 AM</t>
  </si>
  <si>
    <t>Executive Dashboard</t>
  </si>
  <si>
    <t>SMART INSIGHTS
• Strongest region updates automatically.
• Profit leaders are calculated from current data.
• Forecast page estimates next-month revenue.
• Upload a new CSV to refresh the entire workbook.</t>
  </si>
  <si>
    <t>Region</t>
  </si>
  <si>
    <t>Revenue</t>
  </si>
  <si>
    <t>Category</t>
  </si>
  <si>
    <t>Profit</t>
  </si>
  <si>
    <t>East</t>
  </si>
  <si>
    <t>Electronics</t>
  </si>
  <si>
    <t>West</t>
  </si>
  <si>
    <t>Office</t>
  </si>
  <si>
    <t>North</t>
  </si>
  <si>
    <t>South</t>
  </si>
  <si>
    <t>Accessories</t>
  </si>
  <si>
    <t>Month</t>
  </si>
  <si>
    <t>MoM Growth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</si>
  <si>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</si>
  <si>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</si>
  <si>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</si>
  <si>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</si>
  <si>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</si>
  <si>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</si>
  <si>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</si>
  <si>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</si>
  <si>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</si>
  <si>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</si>
  <si>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</si>
  <si>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</si>
  <si>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Executive Report</t>
  </si>
  <si>
    <t>Metric</t>
  </si>
  <si>
    <t>Value</t>
  </si>
  <si>
    <t>EXECUTIVE SUMMARY
This report gives management a concise view of revenue, profit, target achievement, order quality and forward-looking revenue. Use Dashboard for visualization and KPI Center for performance monitoring.</t>
  </si>
  <si>
    <t>Total Revenue</t>
  </si>
  <si>
    <t>Total Profit</t>
  </si>
  <si>
    <t>Profit Margin</t>
  </si>
  <si>
    <t>Achievement</t>
  </si>
  <si>
    <t>Average Order Value</t>
  </si>
  <si>
    <t>Completed Orders</t>
  </si>
  <si>
    <t>Field</t>
  </si>
  <si>
    <t>Type</t>
  </si>
  <si>
    <t>Meaning</t>
  </si>
  <si>
    <t>Example</t>
  </si>
  <si>
    <t>Order ID</t>
  </si>
  <si>
    <t>Text/Date</t>
  </si>
  <si>
    <t>Business field used in SalesIQ analysis: Order ID.</t>
  </si>
  <si>
    <t>ORD-10001</t>
  </si>
  <si>
    <t>Date</t>
  </si>
  <si>
    <t>Business field used in SalesIQ analysis: Date.</t>
  </si>
  <si>
    <t>2025-09-17 00:00:00</t>
  </si>
  <si>
    <t>Business field used in SalesIQ analysis: Month.</t>
  </si>
  <si>
    <t>Quarter</t>
  </si>
  <si>
    <t>Business field used in SalesIQ analysis: Quarter.</t>
  </si>
  <si>
    <t>Q3</t>
  </si>
  <si>
    <t>Business field used in SalesIQ analysis: Region.</t>
  </si>
  <si>
    <t>City</t>
  </si>
  <si>
    <t>Business field used in SalesIQ analysis: City.</t>
  </si>
  <si>
    <t>Chennai</t>
  </si>
  <si>
    <t>Sales Executive</t>
  </si>
  <si>
    <t>Business field used in SalesIQ analysis: Sales Executive.</t>
  </si>
  <si>
    <t>Ananya Iyer</t>
  </si>
  <si>
    <t>Product Category</t>
  </si>
  <si>
    <t>Business field used in SalesIQ analysis: Product Category.</t>
  </si>
  <si>
    <t>Product Name</t>
  </si>
  <si>
    <t>Business field used in SalesIQ analysis: Product Name.</t>
  </si>
  <si>
    <t>Wireless Mouse</t>
  </si>
  <si>
    <t>Units Sold</t>
  </si>
  <si>
    <t>Number</t>
  </si>
  <si>
    <t>Business field used in SalesIQ analysis: Units Sold.</t>
  </si>
  <si>
    <t>6</t>
  </si>
  <si>
    <t>Selling Price</t>
  </si>
  <si>
    <t>Business field used in SalesIQ analysis: Selling Price.</t>
  </si>
  <si>
    <t>2110</t>
  </si>
  <si>
    <t>Business field used in SalesIQ analysis: Revenue.</t>
  </si>
  <si>
    <t>12660</t>
  </si>
  <si>
    <t>Cost</t>
  </si>
  <si>
    <t>Business field used in SalesIQ analysis: Cost.</t>
  </si>
  <si>
    <t>5580</t>
  </si>
  <si>
    <t>Business field used in SalesIQ analysis: Profit.</t>
  </si>
  <si>
    <t>7080</t>
  </si>
  <si>
    <t>Profit Margin %</t>
  </si>
  <si>
    <t>Business field used in SalesIQ analysis: Profit Margin %.</t>
  </si>
  <si>
    <t>0.5592417061611374</t>
  </si>
  <si>
    <t>Customer Type</t>
  </si>
  <si>
    <t>Business field used in SalesIQ analysis: Customer Type.</t>
  </si>
  <si>
    <t>Existing</t>
  </si>
  <si>
    <t>Sales Channel</t>
  </si>
  <si>
    <t>Business field used in SalesIQ analysis: Sales Channel.</t>
  </si>
  <si>
    <t>Offline</t>
  </si>
  <si>
    <t>Target Sales</t>
  </si>
  <si>
    <t>Business field used in SalesIQ analysis: Target Sales.</t>
  </si>
  <si>
    <t>14100</t>
  </si>
  <si>
    <t>Achievement %</t>
  </si>
  <si>
    <t>Business field used in SalesIQ analysis: Achievement %.</t>
  </si>
  <si>
    <t>0.8978723404255319</t>
  </si>
  <si>
    <t>Growth %</t>
  </si>
  <si>
    <t>Business field used in SalesIQ analysis: Growth %.</t>
  </si>
  <si>
    <t>0.08970616847575623</t>
  </si>
  <si>
    <t>Order Status</t>
  </si>
  <si>
    <t>Business field used in SalesIQ analysis: Order Status.</t>
  </si>
  <si>
    <t>Completed</t>
  </si>
  <si>
    <t>Discount %</t>
  </si>
  <si>
    <t>Business field used in SalesIQ analysis: Discount %.</t>
  </si>
  <si>
    <t>0</t>
  </si>
  <si>
    <t>Rating</t>
  </si>
  <si>
    <t>Business field used in SalesIQ analysis: Rating.</t>
  </si>
  <si>
    <t>3.8</t>
  </si>
  <si>
    <t>Setting</t>
  </si>
  <si>
    <t>Current Value</t>
  </si>
  <si>
    <t>Description</t>
  </si>
  <si>
    <t>Status</t>
  </si>
  <si>
    <t>Theme</t>
  </si>
  <si>
    <t>Dark Premium</t>
  </si>
  <si>
    <t>Approved master UI reference</t>
  </si>
  <si>
    <t>Active</t>
  </si>
  <si>
    <t>Default Currency</t>
  </si>
  <si>
    <t>INR (₹)</t>
  </si>
  <si>
    <t>Dashboard currency display</t>
  </si>
  <si>
    <t>Data Source</t>
  </si>
  <si>
    <t>CSV Upload</t>
  </si>
  <si>
    <t>Selected through VBA file picker</t>
  </si>
  <si>
    <t>Ready</t>
  </si>
  <si>
    <t>Auto Refresh</t>
  </si>
  <si>
    <t>Enabled</t>
  </si>
  <si>
    <t>Refresh after successful import</t>
  </si>
  <si>
    <t>PDF Export</t>
  </si>
  <si>
    <t>Exports Dashboard page</t>
  </si>
  <si>
    <t>Monthly trend-based estimate</t>
  </si>
  <si>
    <t>ORD-10002</t>
  </si>
  <si>
    <t>Q4</t>
  </si>
  <si>
    <t>Ahmedabad</t>
  </si>
  <si>
    <t>Kabir Shah</t>
  </si>
  <si>
    <t>Standing Desk</t>
  </si>
  <si>
    <t>ORD-10003</t>
  </si>
  <si>
    <t>Q2</t>
  </si>
  <si>
    <t>Bengaluru</t>
  </si>
  <si>
    <t>Tablet Plus</t>
  </si>
  <si>
    <t>Online</t>
  </si>
  <si>
    <t>ORD-10004</t>
  </si>
  <si>
    <t>Jaipur</t>
  </si>
  <si>
    <t>Arjun Malhotra</t>
  </si>
  <si>
    <t>Ergonomic Chair</t>
  </si>
  <si>
    <t>ORD-10005</t>
  </si>
  <si>
    <t>Q1</t>
  </si>
  <si>
    <t>Bhubaneswar</t>
  </si>
  <si>
    <t>Riya Das</t>
  </si>
  <si>
    <t>Laser Printer</t>
  </si>
  <si>
    <t>ORD-10006</t>
  </si>
  <si>
    <t>Vikram Rao</t>
  </si>
  <si>
    <t>New</t>
  </si>
  <si>
    <t>ORD-10007</t>
  </si>
  <si>
    <t>Delhi</t>
  </si>
  <si>
    <t>Neha Verma</t>
  </si>
  <si>
    <t>Keyboard</t>
  </si>
  <si>
    <t>ORD-10008</t>
  </si>
  <si>
    <t>Pune</t>
  </si>
  <si>
    <t>Vacuum Cleaner</t>
  </si>
  <si>
    <t>ORD-10009</t>
  </si>
  <si>
    <t>Mumbai</t>
  </si>
  <si>
    <t>Meera Patel</t>
  </si>
  <si>
    <t>ORD-10010</t>
  </si>
  <si>
    <t>Lucknow</t>
  </si>
  <si>
    <t>ORD-10011</t>
  </si>
  <si>
    <t>Kolkata</t>
  </si>
  <si>
    <t>Aarav Sen</t>
  </si>
  <si>
    <t>ORD-10012</t>
  </si>
  <si>
    <t>ORD-10013</t>
  </si>
  <si>
    <t>Hyderabad</t>
  </si>
  <si>
    <t>Microwave</t>
  </si>
  <si>
    <t>ORD-10014</t>
  </si>
  <si>
    <t>ORD-10015</t>
  </si>
  <si>
    <t>ORD-10016</t>
  </si>
  <si>
    <t>ORD-10017</t>
  </si>
  <si>
    <t>Air Purifier</t>
  </si>
  <si>
    <t>ORD-10018</t>
  </si>
  <si>
    <t>ORD-10019</t>
  </si>
  <si>
    <t>ORD-10020</t>
  </si>
  <si>
    <t>Cancelled</t>
  </si>
  <si>
    <t>ORD-10021</t>
  </si>
  <si>
    <t>ORD-10022</t>
  </si>
  <si>
    <t>Patna</t>
  </si>
  <si>
    <t>ORD-10023</t>
  </si>
  <si>
    <t>ORD-10024</t>
  </si>
  <si>
    <t>ORD-10025</t>
  </si>
  <si>
    <t>ORD-10026</t>
  </si>
  <si>
    <t>ORD-10027</t>
  </si>
  <si>
    <t>ORD-10028</t>
  </si>
  <si>
    <t>ORD-10029</t>
  </si>
  <si>
    <t>ORD-10030</t>
  </si>
  <si>
    <t>ORD-10031</t>
  </si>
  <si>
    <t>ORD-10032</t>
  </si>
  <si>
    <t>Laptop Pro</t>
  </si>
  <si>
    <t>ORD-10033</t>
  </si>
  <si>
    <t>ORD-10034</t>
  </si>
  <si>
    <t>ORD-10035</t>
  </si>
  <si>
    <t>Pending</t>
  </si>
  <si>
    <t>ORD-10036</t>
  </si>
  <si>
    <t>ORD-10037</t>
  </si>
  <si>
    <t>ORD-10038</t>
  </si>
  <si>
    <t>ORD-10039</t>
  </si>
  <si>
    <t>Headphones</t>
  </si>
  <si>
    <t>ORD-10040</t>
  </si>
  <si>
    <t>Smartphone X</t>
  </si>
  <si>
    <t>ORD-10041</t>
  </si>
  <si>
    <t>ORD-10042</t>
  </si>
  <si>
    <t>ORD-10043</t>
  </si>
  <si>
    <t>ORD-10044</t>
  </si>
  <si>
    <t>ORD-10045</t>
  </si>
  <si>
    <t>ORD-10046</t>
  </si>
  <si>
    <t>ORD-10047</t>
  </si>
  <si>
    <t>ORD-10048</t>
  </si>
  <si>
    <t>ORD-10049</t>
  </si>
  <si>
    <t>ORD-10050</t>
  </si>
  <si>
    <t>ORD-10051</t>
  </si>
  <si>
    <t>ORD-10052</t>
  </si>
  <si>
    <t>ORD-10053</t>
  </si>
  <si>
    <t>ORD-10054</t>
  </si>
  <si>
    <t>ORD-10055</t>
  </si>
  <si>
    <t>ORD-10056</t>
  </si>
  <si>
    <t>ORD-10057</t>
  </si>
  <si>
    <t>ORD-10058</t>
  </si>
  <si>
    <t>ORD-10059</t>
  </si>
  <si>
    <t>ORD-10060</t>
  </si>
  <si>
    <t>ORD-10061</t>
  </si>
  <si>
    <t>ORD-10062</t>
  </si>
  <si>
    <t>ORD-10063</t>
  </si>
  <si>
    <t>ORD-10064</t>
  </si>
  <si>
    <t>ORD-10065</t>
  </si>
  <si>
    <t>ORD-10066</t>
  </si>
  <si>
    <t>ORD-10067</t>
  </si>
  <si>
    <t>ORD-10068</t>
  </si>
  <si>
    <t>ORD-10069</t>
  </si>
  <si>
    <t>ORD-10070</t>
  </si>
  <si>
    <t>ORD-10071</t>
  </si>
  <si>
    <t>ORD-10072</t>
  </si>
  <si>
    <t>ORD-10073</t>
  </si>
  <si>
    <t>ORD-10074</t>
  </si>
  <si>
    <t>ORD-10075</t>
  </si>
  <si>
    <t>ORD-10076</t>
  </si>
  <si>
    <t>ORD-10077</t>
  </si>
  <si>
    <t>ORD-10078</t>
  </si>
  <si>
    <t>ORD-10079</t>
  </si>
  <si>
    <t>ORD-10080</t>
  </si>
  <si>
    <t>ORD-10081</t>
  </si>
  <si>
    <t>ORD-10082</t>
  </si>
  <si>
    <t>ORD-10083</t>
  </si>
  <si>
    <t>ORD-10084</t>
  </si>
  <si>
    <t>ORD-10085</t>
  </si>
  <si>
    <t>ORD-10086</t>
  </si>
  <si>
    <t>ORD-10087</t>
  </si>
  <si>
    <t>ORD-10088</t>
  </si>
  <si>
    <t>ORD-10089</t>
  </si>
  <si>
    <t>ORD-10090</t>
  </si>
  <si>
    <t>ORD-10091</t>
  </si>
  <si>
    <t>ORD-10092</t>
  </si>
  <si>
    <t>ORD-10093</t>
  </si>
  <si>
    <t>ORD-10094</t>
  </si>
  <si>
    <t>ORD-10095</t>
  </si>
  <si>
    <t>ORD-10096</t>
  </si>
  <si>
    <t>ORD-10097</t>
  </si>
  <si>
    <t>ORD-10098</t>
  </si>
  <si>
    <t>ORD-10099</t>
  </si>
  <si>
    <t>ORD-10100</t>
  </si>
  <si>
    <t>ORD-10101</t>
  </si>
  <si>
    <t>ORD-10102</t>
  </si>
  <si>
    <t>ORD-10103</t>
  </si>
  <si>
    <t>ORD-10104</t>
  </si>
  <si>
    <t>ORD-10105</t>
  </si>
  <si>
    <t>ORD-10106</t>
  </si>
  <si>
    <t>ORD-10107</t>
  </si>
  <si>
    <t>ORD-10108</t>
  </si>
  <si>
    <t>ORD-10109</t>
  </si>
  <si>
    <t>ORD-10110</t>
  </si>
  <si>
    <t>ORD-10111</t>
  </si>
  <si>
    <t>ORD-10112</t>
  </si>
  <si>
    <t>ORD-10113</t>
  </si>
  <si>
    <t>ORD-10114</t>
  </si>
  <si>
    <t>ORD-10115</t>
  </si>
  <si>
    <t>ORD-10116</t>
  </si>
  <si>
    <t>ORD-10117</t>
  </si>
  <si>
    <t>ORD-10118</t>
  </si>
  <si>
    <t>ORD-10119</t>
  </si>
  <si>
    <t>ORD-10120</t>
  </si>
  <si>
    <t>ORD-10121</t>
  </si>
  <si>
    <t>ORD-10122</t>
  </si>
  <si>
    <t>ORD-10123</t>
  </si>
  <si>
    <t>ORD-10124</t>
  </si>
  <si>
    <t>ORD-10125</t>
  </si>
  <si>
    <t>ORD-10126</t>
  </si>
  <si>
    <t>ORD-10127</t>
  </si>
  <si>
    <t>ORD-10128</t>
  </si>
  <si>
    <t>ORD-10129</t>
  </si>
  <si>
    <t>ORD-10130</t>
  </si>
  <si>
    <t>ORD-10131</t>
  </si>
  <si>
    <t>ORD-10132</t>
  </si>
  <si>
    <t>ORD-10133</t>
  </si>
  <si>
    <t>ORD-10134</t>
  </si>
  <si>
    <t>ORD-10135</t>
  </si>
  <si>
    <t>ORD-10136</t>
  </si>
  <si>
    <t>ORD-10137</t>
  </si>
  <si>
    <t>ORD-10138</t>
  </si>
  <si>
    <t>ORD-10139</t>
  </si>
  <si>
    <t>ORD-10140</t>
  </si>
  <si>
    <t>ORD-10141</t>
  </si>
  <si>
    <t>ORD-10142</t>
  </si>
  <si>
    <t>ORD-10143</t>
  </si>
  <si>
    <t>ORD-10144</t>
  </si>
  <si>
    <t>ORD-10145</t>
  </si>
  <si>
    <t>ORD-10146</t>
  </si>
  <si>
    <t>ORD-10147</t>
  </si>
  <si>
    <t>ORD-10148</t>
  </si>
  <si>
    <t>ORD-10149</t>
  </si>
  <si>
    <t>ORD-10150</t>
  </si>
  <si>
    <t>ORD-10151</t>
  </si>
  <si>
    <t>ORD-10152</t>
  </si>
  <si>
    <t>ORD-10153</t>
  </si>
  <si>
    <t>ORD-10154</t>
  </si>
  <si>
    <t>ORD-10155</t>
  </si>
  <si>
    <t>ORD-10156</t>
  </si>
  <si>
    <t>ORD-10157</t>
  </si>
  <si>
    <t>ORD-10158</t>
  </si>
  <si>
    <t>ORD-10159</t>
  </si>
  <si>
    <t>ORD-10160</t>
  </si>
  <si>
    <t>ORD-10161</t>
  </si>
  <si>
    <t>ORD-10162</t>
  </si>
  <si>
    <t>ORD-10163</t>
  </si>
  <si>
    <t>ORD-10164</t>
  </si>
  <si>
    <t>ORD-10165</t>
  </si>
  <si>
    <t>ORD-10166</t>
  </si>
  <si>
    <t>ORD-10167</t>
  </si>
  <si>
    <t>ORD-10168</t>
  </si>
  <si>
    <t>ORD-10169</t>
  </si>
  <si>
    <t>ORD-10170</t>
  </si>
  <si>
    <t>ORD-10171</t>
  </si>
  <si>
    <t>ORD-10172</t>
  </si>
  <si>
    <t>ORD-10173</t>
  </si>
  <si>
    <t>ORD-10174</t>
  </si>
  <si>
    <t>ORD-10175</t>
  </si>
  <si>
    <t>ORD-10176</t>
  </si>
  <si>
    <t>ORD-10177</t>
  </si>
  <si>
    <t>ORD-10178</t>
  </si>
  <si>
    <t>ORD-10179</t>
  </si>
  <si>
    <t>ORD-10180</t>
  </si>
  <si>
    <t>ORD-10181</t>
  </si>
  <si>
    <t>ORD-10182</t>
  </si>
  <si>
    <t>ORD-10183</t>
  </si>
  <si>
    <t>ORD-10184</t>
  </si>
  <si>
    <t>ORD-10185</t>
  </si>
  <si>
    <t>ORD-10186</t>
  </si>
  <si>
    <t>ORD-10187</t>
  </si>
  <si>
    <t>ORD-10188</t>
  </si>
  <si>
    <t>ORD-10189</t>
  </si>
  <si>
    <t>ORD-10190</t>
  </si>
  <si>
    <t>ORD-10191</t>
  </si>
  <si>
    <t>ORD-10192</t>
  </si>
  <si>
    <t>ORD-10193</t>
  </si>
  <si>
    <t>ORD-10194</t>
  </si>
  <si>
    <t>ORD-10195</t>
  </si>
  <si>
    <t>ORD-10196</t>
  </si>
  <si>
    <t>ORD-10197</t>
  </si>
  <si>
    <t>ORD-10198</t>
  </si>
  <si>
    <t>ORD-10199</t>
  </si>
  <si>
    <t>ORD-10200</t>
  </si>
  <si>
    <t>ORD-10201</t>
  </si>
  <si>
    <t>ORD-10202</t>
  </si>
  <si>
    <t>ORD-10203</t>
  </si>
  <si>
    <t>ORD-10204</t>
  </si>
  <si>
    <t>ORD-10205</t>
  </si>
  <si>
    <t>ORD-10206</t>
  </si>
  <si>
    <t>ORD-10207</t>
  </si>
  <si>
    <t>ORD-10208</t>
  </si>
  <si>
    <t>ORD-10209</t>
  </si>
  <si>
    <t>ORD-10210</t>
  </si>
  <si>
    <t>ORD-10211</t>
  </si>
  <si>
    <t>ORD-10212</t>
  </si>
  <si>
    <t>ORD-10213</t>
  </si>
  <si>
    <t>ORD-10214</t>
  </si>
  <si>
    <t>ORD-10215</t>
  </si>
  <si>
    <t>ORD-10216</t>
  </si>
  <si>
    <t>ORD-10217</t>
  </si>
  <si>
    <t>ORD-10218</t>
  </si>
  <si>
    <t>ORD-10219</t>
  </si>
  <si>
    <t>ORD-10220</t>
  </si>
  <si>
    <t>ORD-10221</t>
  </si>
  <si>
    <t>ORD-10222</t>
  </si>
  <si>
    <t>ORD-10223</t>
  </si>
  <si>
    <t>ORD-10224</t>
  </si>
  <si>
    <t>ORD-10225</t>
  </si>
  <si>
    <t>ORD-10226</t>
  </si>
  <si>
    <t>ORD-10227</t>
  </si>
  <si>
    <t>ORD-10228</t>
  </si>
  <si>
    <t>ORD-10229</t>
  </si>
  <si>
    <t>ORD-10230</t>
  </si>
  <si>
    <t>ORD-10231</t>
  </si>
  <si>
    <t>ORD-10232</t>
  </si>
  <si>
    <t>ORD-10233</t>
  </si>
  <si>
    <t>ORD-10234</t>
  </si>
  <si>
    <t>ORD-10235</t>
  </si>
  <si>
    <t>ORD-10236</t>
  </si>
  <si>
    <t>ORD-10237</t>
  </si>
  <si>
    <t>ORD-10238</t>
  </si>
  <si>
    <t>ORD-10239</t>
  </si>
  <si>
    <t>ORD-10240</t>
  </si>
  <si>
    <t>ORD-10241</t>
  </si>
  <si>
    <t>ORD-10242</t>
  </si>
  <si>
    <t>ORD-10243</t>
  </si>
  <si>
    <t>ORD-10244</t>
  </si>
  <si>
    <t>ORD-10245</t>
  </si>
  <si>
    <t>ORD-10246</t>
  </si>
  <si>
    <t>ORD-10247</t>
  </si>
  <si>
    <t>ORD-10248</t>
  </si>
  <si>
    <t>ORD-10249</t>
  </si>
  <si>
    <t>ORD-10250</t>
  </si>
  <si>
    <t>ORD-10251</t>
  </si>
  <si>
    <t>ORD-10252</t>
  </si>
  <si>
    <t>ORD-10253</t>
  </si>
  <si>
    <t>ORD-10254</t>
  </si>
  <si>
    <t>ORD-10255</t>
  </si>
  <si>
    <t>ORD-10256</t>
  </si>
  <si>
    <t>ORD-10257</t>
  </si>
  <si>
    <t>ORD-10258</t>
  </si>
  <si>
    <t>ORD-10259</t>
  </si>
  <si>
    <t>ORD-10260</t>
  </si>
  <si>
    <t>ORD-10261</t>
  </si>
  <si>
    <t>ORD-10262</t>
  </si>
  <si>
    <t>ORD-10263</t>
  </si>
  <si>
    <t>ORD-10264</t>
  </si>
  <si>
    <t>ORD-10265</t>
  </si>
  <si>
    <t>ORD-10266</t>
  </si>
  <si>
    <t>ORD-10267</t>
  </si>
  <si>
    <t>ORD-10268</t>
  </si>
  <si>
    <t>ORD-10269</t>
  </si>
  <si>
    <t>ORD-10270</t>
  </si>
  <si>
    <t>ORD-10271</t>
  </si>
  <si>
    <t>ORD-10272</t>
  </si>
  <si>
    <t>ORD-10273</t>
  </si>
  <si>
    <t>ORD-10274</t>
  </si>
  <si>
    <t>ORD-10275</t>
  </si>
  <si>
    <t>ORD-10276</t>
  </si>
  <si>
    <t>ORD-10277</t>
  </si>
  <si>
    <t>ORD-10278</t>
  </si>
  <si>
    <t>ORD-10279</t>
  </si>
  <si>
    <t>ORD-10280</t>
  </si>
  <si>
    <t>ORD-10281</t>
  </si>
  <si>
    <t>ORD-10282</t>
  </si>
  <si>
    <t>ORD-10283</t>
  </si>
  <si>
    <t>ORD-10284</t>
  </si>
  <si>
    <t>ORD-10285</t>
  </si>
  <si>
    <t>ORD-10286</t>
  </si>
  <si>
    <t>ORD-10287</t>
  </si>
  <si>
    <t>ORD-10288</t>
  </si>
  <si>
    <t>ORD-10289</t>
  </si>
  <si>
    <t>ORD-10290</t>
  </si>
  <si>
    <t>ORD-10291</t>
  </si>
  <si>
    <t>ORD-10292</t>
  </si>
  <si>
    <t>ORD-10293</t>
  </si>
  <si>
    <t>ORD-10294</t>
  </si>
  <si>
    <t>ORD-10295</t>
  </si>
  <si>
    <t>ORD-10296</t>
  </si>
  <si>
    <t>ORD-10297</t>
  </si>
  <si>
    <t>ORD-10298</t>
  </si>
  <si>
    <t>ORD-10299</t>
  </si>
  <si>
    <t>ORD-10300</t>
  </si>
  <si>
    <t>Regions</t>
  </si>
  <si>
    <t>Channels</t>
  </si>
  <si>
    <t>Customer Types</t>
  </si>
  <si>
    <t>Statuses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</si>
</sst>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"/>
    <numFmt numFmtId="181" formatCode="&quot;₹&quot;#,##0"/>
    <numFmt numFmtId="182" formatCode="0.0%"/>
    <numFmt numFmtId="183" formatCode="0.0"/>
  </numFmts>
  <fonts count="44">
    <font>
      <sz val="11"/>
      <name val="Carlito"/>
      <charset val="134"/>
    </font>
    <font>
      <b/>
      <sz val="11"/>
      <color rgb="FFFFFFFF"/>
      <name val="Carlito"/>
      <charset val="134"/>
    </font>
    <font>
      <sz val="10"/>
      <color rgb="FFFFFFFF"/>
      <name val="Segoe UI"/>
      <charset val="134"/>
    </font>
    <font>
      <b/>
      <sz val="24"/>
      <color rgb="FF6C63FF"/>
      <name val="Segoe UI"/>
      <charset val="134"/>
    </font>
    <font>
      <b/>
      <sz val="22"/>
      <color rgb="FFFFFFFF"/>
      <name val="Segoe UI"/>
      <charset val="134"/>
    </font>
    <font>
      <b/>
      <sz val="10"/>
      <color rgb="FFFFFFFF"/>
      <name val="Segoe UI"/>
      <charset val="134"/>
    </font>
    <font>
      <sz val="11"/>
      <color rgb="FFB8C7D9"/>
      <name val="Segoe UI"/>
      <charset val="134"/>
    </font>
    <font>
      <b/>
      <sz val="11"/>
      <color rgb="FFFFFFFF"/>
      <name val="Segoe UI"/>
      <charset val="134"/>
    </font>
    <font>
      <sz val="9"/>
      <color rgb="FFB8C7D9"/>
      <name val="Segoe UI"/>
      <charset val="134"/>
    </font>
    <font>
      <sz val="11"/>
      <color rgb="FFDCE9F8"/>
      <name val="Segoe UI"/>
      <charset val="134"/>
    </font>
    <font>
      <b/>
      <sz val="22"/>
      <color rgb="FFFACC15"/>
      <name val="Segoe UI"/>
      <charset val="134"/>
    </font>
    <font>
      <b/>
      <sz val="18"/>
      <color rgb="FFFFFFFF"/>
      <name val="Segoe UI"/>
      <charset val="134"/>
    </font>
    <font>
      <b/>
      <sz val="17"/>
      <color rgb="FFFFFFFF"/>
      <name val="Segoe UI"/>
      <charset val="134"/>
    </font>
    <font>
      <sz val="10"/>
      <color rgb="FFD6E5F6"/>
      <name val="Segoe UI"/>
      <charset val="134"/>
    </font>
    <font>
      <b/>
      <sz val="10"/>
      <color rgb="FFE8E4FF"/>
      <name val="Segoe UI"/>
      <charset val="134"/>
    </font>
    <font>
      <b/>
      <sz val="23"/>
      <color rgb="FFFFFFFF"/>
      <name val="Segoe UI"/>
      <charset val="134"/>
    </font>
    <font>
      <b/>
      <sz val="20"/>
      <color rgb="FFFFFFFF"/>
      <name val="Segoe UI"/>
      <charset val="134"/>
    </font>
    <font>
      <sz val="11"/>
      <color rgb="FFDCE8F7"/>
      <name val="Segoe UI"/>
      <charset val="134"/>
    </font>
    <font>
      <b/>
      <sz val="13"/>
      <color rgb="FF22D3EE"/>
      <name val="Segoe UI"/>
      <charset val="134"/>
    </font>
    <font>
      <b/>
      <sz val="13"/>
      <color rgb="FF22C55E"/>
      <name val="Segoe UI"/>
      <charset val="134"/>
    </font>
    <font>
      <b/>
      <sz val="13"/>
      <color rgb="FF8B5CF6"/>
      <name val="Segoe UI"/>
      <charset val="134"/>
    </font>
    <font>
      <b/>
      <sz val="13"/>
      <color rgb="FFF97316"/>
      <name val="Segoe UI"/>
      <charset val="134"/>
    </font>
    <font>
      <b/>
      <sz val="10"/>
      <color rgb="FF9ABDE0"/>
      <name val="Segoe UI"/>
      <charset val="134"/>
    </font>
    <font>
      <i/>
      <sz val="10"/>
      <color rgb="FFBFD7F1"/>
      <name val="Segoe UI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0B2748"/>
        <bgColor indexed="64"/>
      </patternFill>
    </fill>
    <fill>
      <patternFill patternType="solid">
        <fgColor rgb="FF06182E"/>
        <bgColor indexed="64"/>
      </patternFill>
    </fill>
    <fill>
      <patternFill patternType="solid">
        <fgColor rgb="FF071B33"/>
        <bgColor indexed="64"/>
      </patternFill>
    </fill>
    <fill>
      <patternFill patternType="solid">
        <fgColor rgb="FF173E6C"/>
        <bgColor indexed="64"/>
      </patternFill>
    </fill>
    <fill>
      <patternFill patternType="solid">
        <fgColor rgb="FF1B3B68"/>
        <bgColor indexed="64"/>
      </patternFill>
    </fill>
    <fill>
      <patternFill patternType="solid">
        <fgColor rgb="FF0C2749"/>
        <bgColor indexed="64"/>
      </patternFill>
    </fill>
    <fill>
      <patternFill patternType="solid">
        <fgColor rgb="FF0E2A4A"/>
        <bgColor indexed="64"/>
      </patternFill>
    </fill>
    <fill>
      <patternFill patternType="solid">
        <fgColor rgb="FF132E52"/>
        <bgColor indexed="64"/>
      </patternFill>
    </fill>
    <fill>
      <patternFill patternType="solid">
        <fgColor rgb="FF0D294A"/>
        <bgColor indexed="64"/>
      </patternFill>
    </fill>
    <fill>
      <patternFill patternType="solid">
        <fgColor rgb="FF102B4E"/>
        <bgColor indexed="64"/>
      </patternFill>
    </fill>
    <fill>
      <patternFill patternType="solid">
        <fgColor rgb="FF0E2948"/>
        <bgColor indexed="64"/>
      </patternFill>
    </fill>
    <fill>
      <patternFill patternType="solid">
        <fgColor rgb="FF0D243F"/>
        <bgColor indexed="64"/>
      </patternFill>
    </fill>
    <fill>
      <patternFill patternType="solid">
        <fgColor rgb="FF0A223D"/>
        <bgColor indexed="64"/>
      </patternFill>
    </fill>
    <fill>
      <patternFill patternType="solid">
        <fgColor rgb="FF0C294A"/>
        <bgColor indexed="64"/>
      </patternFill>
    </fill>
    <fill>
      <patternFill patternType="solid">
        <fgColor rgb="FF112C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24" fillId="0" borderId="0" applyFont="0" applyFill="0" applyBorder="0" applyAlignment="0" applyProtection="0">
      <alignment vertical="center"/>
    </xf>
    <xf numFmtId="177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178" fontId="24" fillId="0" borderId="0" applyFont="0" applyFill="0" applyBorder="0" applyAlignment="0" applyProtection="0">
      <alignment vertical="center"/>
    </xf>
    <xf numFmtId="179" fontId="24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4" fillId="17" borderId="1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1" fillId="0" borderId="2" applyNumberFormat="0" applyFill="0" applyAlignment="0" applyProtection="0">
      <alignment vertical="center"/>
    </xf>
    <xf numFmtId="0" fontId="32" fillId="0" borderId="3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18" borderId="4" applyNumberFormat="0" applyAlignment="0" applyProtection="0">
      <alignment vertical="center"/>
    </xf>
    <xf numFmtId="0" fontId="34" fillId="19" borderId="5" applyNumberFormat="0" applyAlignment="0" applyProtection="0">
      <alignment vertical="center"/>
    </xf>
    <xf numFmtId="0" fontId="35" fillId="19" borderId="4" applyNumberFormat="0" applyAlignment="0" applyProtection="0">
      <alignment vertical="center"/>
    </xf>
    <xf numFmtId="0" fontId="36" fillId="20" borderId="6" applyNumberFormat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2" fillId="24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2" fillId="32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2" fillId="36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3" fillId="41" borderId="0" applyNumberFormat="0" applyBorder="0" applyAlignment="0" applyProtection="0">
      <alignment vertical="center"/>
    </xf>
    <xf numFmtId="0" fontId="43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3" fillId="45" borderId="0" applyNumberFormat="0" applyBorder="0" applyAlignment="0" applyProtection="0">
      <alignment vertical="center"/>
    </xf>
    <xf numFmtId="0" fontId="43" fillId="46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</cellStyleXfs>
  <cellXfs count="40">
    <xf numFmtId="0" fontId="0" fillId="0" borderId="0" xfId="0"/>
    <xf numFmtId="0" fontId="1" fillId="2" borderId="0" xfId="0" applyNumberFormat="1" applyFont="1" applyFill="1" applyBorder="1" applyAlignment="1">
      <alignment horizontal="center" vertical="center"/>
    </xf>
    <xf numFmtId="180" fontId="0" fillId="0" borderId="0" xfId="0" applyNumberFormat="1" applyFont="1" applyFill="1" applyBorder="1"/>
    <xf numFmtId="181" fontId="0" fillId="0" borderId="0" xfId="0" applyNumberFormat="1" applyFont="1" applyFill="1" applyBorder="1"/>
    <xf numFmtId="182" fontId="0" fillId="0" borderId="0" xfId="0" applyNumberFormat="1" applyFont="1" applyFill="1" applyBorder="1"/>
    <xf numFmtId="0" fontId="2" fillId="3" borderId="0" xfId="0" applyNumberFormat="1" applyFont="1" applyFill="1" applyBorder="1"/>
    <xf numFmtId="0" fontId="2" fillId="4" borderId="0" xfId="0" applyNumberFormat="1" applyFont="1" applyFill="1" applyBorder="1"/>
    <xf numFmtId="0" fontId="3" fillId="3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/>
    </xf>
    <xf numFmtId="0" fontId="5" fillId="5" borderId="0" xfId="0" applyNumberFormat="1" applyFont="1" applyFill="1" applyBorder="1"/>
    <xf numFmtId="0" fontId="6" fillId="3" borderId="0" xfId="0" applyNumberFormat="1" applyFont="1" applyFill="1" applyBorder="1" applyAlignment="1">
      <alignment horizontal="left" vertical="center"/>
    </xf>
    <xf numFmtId="0" fontId="7" fillId="6" borderId="0" xfId="0" applyNumberFormat="1" applyFont="1" applyFill="1" applyBorder="1" applyAlignment="1">
      <alignment horizontal="left" vertical="center"/>
    </xf>
    <xf numFmtId="0" fontId="8" fillId="7" borderId="0" xfId="0" applyNumberFormat="1" applyFont="1" applyFill="1" applyBorder="1" applyAlignment="1">
      <alignment horizontal="center" vertical="center" wrapText="1"/>
    </xf>
    <xf numFmtId="0" fontId="5" fillId="5" borderId="0" xfId="0" applyNumberFormat="1" applyFont="1" applyFill="1" applyBorder="1" applyAlignment="1">
      <alignment wrapText="1"/>
    </xf>
    <xf numFmtId="0" fontId="2" fillId="4" borderId="0" xfId="0" applyNumberFormat="1" applyFont="1" applyFill="1" applyBorder="1" applyAlignment="1">
      <alignment wrapText="1"/>
    </xf>
    <xf numFmtId="0" fontId="9" fillId="8" borderId="0" xfId="0" applyNumberFormat="1" applyFont="1" applyFill="1" applyBorder="1" applyAlignment="1">
      <alignment vertical="top" wrapText="1"/>
    </xf>
    <xf numFmtId="181" fontId="2" fillId="4" borderId="0" xfId="0" applyNumberFormat="1" applyFont="1" applyFill="1" applyBorder="1"/>
    <xf numFmtId="182" fontId="2" fillId="4" borderId="0" xfId="0" applyNumberFormat="1" applyFont="1" applyFill="1" applyBorder="1"/>
    <xf numFmtId="0" fontId="5" fillId="5" borderId="0" xfId="0" applyNumberFormat="1" applyFont="1" applyFill="1" applyBorder="1" applyAlignment="1">
      <alignment horizontal="center"/>
    </xf>
    <xf numFmtId="181" fontId="10" fillId="9" borderId="0" xfId="0" applyNumberFormat="1" applyFont="1" applyFill="1" applyBorder="1" applyAlignment="1">
      <alignment horizontal="center" vertical="center"/>
    </xf>
    <xf numFmtId="181" fontId="11" fillId="10" borderId="0" xfId="0" applyNumberFormat="1" applyFont="1" applyFill="1" applyBorder="1" applyAlignment="1">
      <alignment horizontal="center" vertical="center"/>
    </xf>
    <xf numFmtId="182" fontId="11" fillId="10" borderId="0" xfId="0" applyNumberFormat="1" applyFont="1" applyFill="1" applyBorder="1" applyAlignment="1">
      <alignment horizontal="center" vertical="center"/>
    </xf>
    <xf numFmtId="1" fontId="11" fillId="10" borderId="0" xfId="0" applyNumberFormat="1" applyFont="1" applyFill="1" applyBorder="1" applyAlignment="1">
      <alignment horizontal="center" vertical="center"/>
    </xf>
    <xf numFmtId="183" fontId="11" fillId="10" borderId="0" xfId="0" applyNumberFormat="1" applyFont="1" applyFill="1" applyBorder="1" applyAlignment="1">
      <alignment horizontal="center" vertical="center"/>
    </xf>
    <xf numFmtId="181" fontId="12" fillId="11" borderId="0" xfId="0" applyNumberFormat="1" applyFont="1" applyFill="1" applyBorder="1" applyAlignment="1">
      <alignment horizontal="center" vertical="center"/>
    </xf>
    <xf numFmtId="1" fontId="12" fillId="11" borderId="0" xfId="0" applyNumberFormat="1" applyFont="1" applyFill="1" applyBorder="1" applyAlignment="1">
      <alignment horizontal="center" vertical="center"/>
    </xf>
    <xf numFmtId="182" fontId="12" fillId="11" borderId="0" xfId="0" applyNumberFormat="1" applyFont="1" applyFill="1" applyBorder="1" applyAlignment="1">
      <alignment horizontal="center" vertical="center"/>
    </xf>
    <xf numFmtId="0" fontId="13" fillId="8" borderId="0" xfId="0" applyNumberFormat="1" applyFont="1" applyFill="1" applyBorder="1" applyAlignment="1">
      <alignment vertical="top" wrapText="1"/>
    </xf>
    <xf numFmtId="0" fontId="14" fillId="4" borderId="0" xfId="0" applyNumberFormat="1" applyFont="1" applyFill="1" applyBorder="1" applyAlignment="1">
      <alignment horizontal="center"/>
    </xf>
    <xf numFmtId="0" fontId="15" fillId="4" borderId="0" xfId="0" applyNumberFormat="1" applyFont="1" applyFill="1" applyBorder="1" applyAlignment="1">
      <alignment horizontal="left" vertical="center"/>
    </xf>
    <xf numFmtId="181" fontId="16" fillId="12" borderId="0" xfId="0" applyNumberFormat="1" applyFont="1" applyFill="1" applyBorder="1" applyAlignment="1">
      <alignment horizontal="center" vertical="center"/>
    </xf>
    <xf numFmtId="0" fontId="17" fillId="4" borderId="0" xfId="0" applyNumberFormat="1" applyFont="1" applyFill="1" applyBorder="1" applyAlignment="1">
      <alignment horizontal="left" vertical="top" wrapText="1"/>
    </xf>
    <xf numFmtId="0" fontId="18" fillId="13" borderId="0" xfId="0" applyNumberFormat="1" applyFont="1" applyFill="1" applyBorder="1" applyAlignment="1">
      <alignment horizontal="center" vertical="center" wrapText="1"/>
    </xf>
    <xf numFmtId="0" fontId="19" fillId="13" borderId="0" xfId="0" applyNumberFormat="1" applyFont="1" applyFill="1" applyBorder="1" applyAlignment="1">
      <alignment horizontal="center" vertical="center" wrapText="1"/>
    </xf>
    <xf numFmtId="0" fontId="20" fillId="13" borderId="0" xfId="0" applyNumberFormat="1" applyFont="1" applyFill="1" applyBorder="1" applyAlignment="1">
      <alignment horizontal="center" vertical="center" wrapText="1"/>
    </xf>
    <xf numFmtId="0" fontId="21" fillId="13" borderId="0" xfId="0" applyNumberFormat="1" applyFont="1" applyFill="1" applyBorder="1" applyAlignment="1">
      <alignment horizontal="center" vertical="center" wrapText="1"/>
    </xf>
    <xf numFmtId="0" fontId="22" fillId="14" borderId="0" xfId="0" applyNumberFormat="1" applyFont="1" applyFill="1" applyBorder="1" applyAlignment="1">
      <alignment horizontal="left"/>
    </xf>
    <xf numFmtId="1" fontId="11" fillId="15" borderId="0" xfId="0" applyNumberFormat="1" applyFont="1" applyFill="1" applyBorder="1" applyAlignment="1">
      <alignment horizontal="center" vertical="center"/>
    </xf>
    <xf numFmtId="181" fontId="11" fillId="15" borderId="0" xfId="0" applyNumberFormat="1" applyFont="1" applyFill="1" applyBorder="1" applyAlignment="1">
      <alignment horizontal="center" vertical="center"/>
    </xf>
    <xf numFmtId="0" fontId="23" fillId="16" borderId="0" xfId="0" applyNumberFormat="1" applyFont="1" applyFill="1" applyBorder="1" applyAlignment="1">
      <alignment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openxmlformats.org/officeDocument/2006/relationships/sharedStrings" Target="sharedString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Revenue by Region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"Revenue"</c:f>
              <c:strCache>
                <c:ptCount val="1"/>
                <c:pt idx="0">
                  <c:v>Revenue</c:v>
                </c:pt>
              </c:strCache>
            </c:strRef>
          </c:tx>
          <c:invertIfNegative val="0"/>
          <c:dLbls>
            <c:delete val="1"/>
          </c:dLbls>
          <c:cat>
            <c:strRef>
              <c:f>KPI_Center!$E$21:$E$24</c:f>
              <c:strCache>
                <c:ptCount val="4"/>
                <c:pt idx="0">
                  <c:v>East</c:v>
                </c:pt>
                <c:pt idx="1">
                  <c:v>West</c:v>
                </c:pt>
                <c:pt idx="2">
                  <c:v>North</c:v>
                </c:pt>
                <c:pt idx="3">
                  <c:v>South</c:v>
                </c:pt>
              </c:strCache>
            </c:strRef>
          </c:cat>
          <c:val>
            <c:numRef>
              <c:f>KPI_Center!$F$21:$F$24</c:f>
              <c:numCache>
                <c:formatCode>"₹"#,##0</c:formatCode>
                <c:ptCount val="4"/>
                <c:pt idx="0">
                  <c:v>13681950</c:v>
                </c:pt>
                <c:pt idx="1">
                  <c:v>11153570</c:v>
                </c:pt>
                <c:pt idx="2">
                  <c:v>8015020</c:v>
                </c:pt>
                <c:pt idx="3">
                  <c:v>10417170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48650112"/>
        <c:crosses val="autoZero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d795af35-479b-4f34-ba59-332c8613cbcf}"/>
      </c:ext>
    </c:extLst>
  </c:chart>
  <c:spPr>
    <a:ln w="9525">
      <a:solidFill>
        <a:srgbClr val="D9D9D9"/>
      </a:solidFill>
      <a:prstDash val="solid"/>
      <a:round/>
    </a:ln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Profit by Category</a:t>
            </a:r>
          </a:p>
        </c:rich>
      </c:tx>
      <c:layout/>
      <c:overlay val="0"/>
    </c:title>
    <c:autoTitleDeleted val="0"/>
    <c:plotArea>
      <c:layout/>
      <c:barChart>
        <c:barDir val="col"/>
        <c:grouping val="none"/>
        <c:varyColors val="0"/>
        <c:ser>
          <c:idx val="0"/>
          <c:order val="0"/>
          <c:tx>
            <c:strRef>
              <c:f>"Profit"</c:f>
              <c:strCache>
                <c:ptCount val="1"/>
                <c:pt idx="0">
                  <c:v>Profit</c:v>
                </c:pt>
              </c:strCache>
            </c:strRef>
          </c:tx>
          <c:invertIfNegative val="0"/>
          <c:dLbls>
            <c:delete val="1"/>
          </c:dLbls>
          <c:cat>
            <c:strRef>
              <c:f>KPI_Center!$H$21:$H$24</c:f>
              <c:strCache>
                <c:ptCount val="4"/>
                <c:pt idx="0">
                  <c:v>Electronics</c:v>
                </c:pt>
                <c:pt idx="1">
                  <c:v>Office</c:v>
                </c:pt>
                <c:pt idx="2">
                  <c:v>Home</c:v>
                </c:pt>
                <c:pt idx="3">
                  <c:v>Accessories</c:v>
                </c:pt>
              </c:strCache>
            </c:strRef>
          </c:cat>
          <c:val>
            <c:numRef>
              <c:f>KPI_Center!$I$21:$I$24</c:f>
              <c:numCache>
                <c:formatCode>"₹"#,##0</c:formatCode>
                <c:ptCount val="4"/>
                <c:pt idx="0">
                  <c:v>5582270</c:v>
                </c:pt>
                <c:pt idx="1">
                  <c:v>3400600</c:v>
                </c:pt>
                <c:pt idx="2">
                  <c:v>3472360</c:v>
                </c:pt>
                <c:pt idx="3">
                  <c:v>1255660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48650112"/>
        <c:crosses val="autoZero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290c6f10-6973-4c6c-8ae6-8d8768f942a9}"/>
      </c:ext>
    </c:extLst>
  </c:chart>
  <c:spPr>
    <a:ln w="9525">
      <a:solidFill>
        <a:srgbClr val="D9D9D9"/>
      </a:solidFill>
      <a:prstDash val="solid"/>
      <a:round/>
    </a:ln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Monthly Revenue Trend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"Revenue"</c:f>
              <c:strCache>
                <c:ptCount val="1"/>
                <c:pt idx="0">
                  <c:v>Revenue</c:v>
                </c:pt>
              </c:strCache>
            </c:strRef>
          </c:tx>
          <c:dLbls>
            <c:delete val="1"/>
          </c:dLbls>
          <c:cat>
            <c:strRef>
              <c:f>Forecast!$E$6:$E$17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Forecast!$F$6:$F$17</c:f>
              <c:numCache>
                <c:formatCode>"₹"#,##0</c:formatCode>
                <c:ptCount val="12"/>
                <c:pt idx="0">
                  <c:v>4499480</c:v>
                </c:pt>
                <c:pt idx="1">
                  <c:v>3195070</c:v>
                </c:pt>
                <c:pt idx="2">
                  <c:v>4326580</c:v>
                </c:pt>
                <c:pt idx="3">
                  <c:v>4079310</c:v>
                </c:pt>
                <c:pt idx="4">
                  <c:v>3468330</c:v>
                </c:pt>
                <c:pt idx="5">
                  <c:v>3595620</c:v>
                </c:pt>
                <c:pt idx="6">
                  <c:v>3875290</c:v>
                </c:pt>
                <c:pt idx="7">
                  <c:v>3234200</c:v>
                </c:pt>
                <c:pt idx="8">
                  <c:v>2047940</c:v>
                </c:pt>
                <c:pt idx="9">
                  <c:v>4249500</c:v>
                </c:pt>
                <c:pt idx="10">
                  <c:v>2248630</c:v>
                </c:pt>
                <c:pt idx="11">
                  <c:v>4447760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48650112"/>
        <c:crosses val="autoZero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1bf0919d-cc6c-4505-a6fc-1ebfd24fea3c}"/>
      </c:ext>
    </c:extLst>
  </c:chart>
  <c:spPr>
    <a:ln w="9525">
      <a:solidFill>
        <a:srgbClr val="D9D9D9"/>
      </a:solidFill>
      <a:prstDash val="solid"/>
      <a:round/>
    </a:ln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0</xdr:colOff>
      <xdr:row>11</xdr:row>
      <xdr:rowOff>0</xdr:rowOff>
    </xdr:from>
    <xdr:to>
      <xdr:col>10</xdr:col>
      <xdr:colOff>0</xdr:colOff>
      <xdr:row>27</xdr:row>
      <xdr:rowOff>0</xdr:rowOff>
    </xdr:to>
    <xdr:graphicFrame>
      <xdr:nvGraphicFramePr>
        <xdr:cNvPr id="2" name="Chart"/>
        <xdr:cNvGraphicFramePr/>
      </xdr:nvGraphicFramePr>
      <xdr:xfrm>
        <a:off x="3352800" y="3073400"/>
        <a:ext cx="5029200" cy="4470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11</xdr:row>
      <xdr:rowOff>0</xdr:rowOff>
    </xdr:from>
    <xdr:to>
      <xdr:col>16</xdr:col>
      <xdr:colOff>0</xdr:colOff>
      <xdr:row>27</xdr:row>
      <xdr:rowOff>0</xdr:rowOff>
    </xdr:to>
    <xdr:graphicFrame>
      <xdr:nvGraphicFramePr>
        <xdr:cNvPr id="3" name="Chart"/>
        <xdr:cNvGraphicFramePr/>
      </xdr:nvGraphicFramePr>
      <xdr:xfrm>
        <a:off x="8382000" y="3073400"/>
        <a:ext cx="5029200" cy="4470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28</xdr:row>
      <xdr:rowOff>0</xdr:rowOff>
    </xdr:from>
    <xdr:to>
      <xdr:col>13</xdr:col>
      <xdr:colOff>0</xdr:colOff>
      <xdr:row>45</xdr:row>
      <xdr:rowOff>0</xdr:rowOff>
    </xdr:to>
    <xdr:graphicFrame>
      <xdr:nvGraphicFramePr>
        <xdr:cNvPr id="4" name="Chart"/>
        <xdr:cNvGraphicFramePr/>
      </xdr:nvGraphicFramePr>
      <xdr:xfrm>
        <a:off x="3352800" y="7823200"/>
        <a:ext cx="7543800" cy="474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blSalesRaw" displayName="tblSalesRaw" ref="A1:W301">
  <tableColumns count="23">
    <tableColumn id="1" name="Order ID"/>
    <tableColumn id="2" name="Date"/>
    <tableColumn id="3" name="Month"/>
    <tableColumn id="4" name="Quarter"/>
    <tableColumn id="5" name="Region"/>
    <tableColumn id="6" name="City"/>
    <tableColumn id="7" name="Sales Executive"/>
    <tableColumn id="8" name="Product Category"/>
    <tableColumn id="9" name="Product Name"/>
    <tableColumn id="10" name="Units Sold"/>
    <tableColumn id="11" name="Selling Price"/>
    <tableColumn id="12" name="Revenue"/>
    <tableColumn id="13" name="Cost"/>
    <tableColumn id="14" name="Profit"/>
    <tableColumn id="15" name="Profit Margin %"/>
    <tableColumn id="16" name="Customer Type"/>
    <tableColumn id="17" name="Sales Channel"/>
    <tableColumn id="18" name="Target Sales"/>
    <tableColumn id="19" name="Achievement %"/>
    <tableColumn id="20" name="Growth %"/>
    <tableColumn id="21" name="Order Status"/>
    <tableColumn id="22" name="Discount %"/>
    <tableColumn id="23" name="Rat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60"/>
  <sheetViews>
    <sheetView tabSelected="1" workbookViewId="0">
      <selection activeCell="A1" sqref="A1"/>
    </sheetView>
  </sheetViews>
  <sheetFormatPr defaultColWidth="9" defaultRowHeight="13.8"/>
  <cols>
    <col min="1" max="17" width="11" customWidth="1"/>
  </cols>
  <sheetData>
    <row r="1" ht="22" customHeight="1" spans="1:17">
      <c r="A1" s="5"/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ht="22" customHeight="1" spans="1:17">
      <c r="A2" s="7" t="s">
        <v>0</v>
      </c>
      <c r="B2" s="7"/>
      <c r="C2" s="7"/>
      <c r="D2" s="6"/>
      <c r="E2" s="6"/>
      <c r="F2" s="6"/>
      <c r="G2" s="6"/>
      <c r="H2" s="6"/>
      <c r="I2" s="6"/>
      <c r="J2" s="6"/>
      <c r="K2" s="6"/>
      <c r="L2" s="6"/>
      <c r="M2" s="6"/>
      <c r="N2" s="28" t="s">
        <v>1</v>
      </c>
      <c r="O2" s="28"/>
      <c r="P2" s="28"/>
      <c r="Q2" s="28"/>
    </row>
    <row r="3" ht="22" customHeight="1" spans="1:17">
      <c r="A3" s="7"/>
      <c r="B3" s="7"/>
      <c r="C3" s="7"/>
      <c r="D3" s="6"/>
      <c r="E3" s="29" t="s">
        <v>2</v>
      </c>
      <c r="F3" s="29"/>
      <c r="G3" s="29"/>
      <c r="H3" s="29"/>
      <c r="I3" s="29"/>
      <c r="J3" s="29"/>
      <c r="K3" s="29"/>
      <c r="L3" s="29"/>
      <c r="M3" s="29"/>
      <c r="N3" s="30">
        <f>SUM(RAW_DATA!L2:L301)</f>
        <v>43267710</v>
      </c>
      <c r="O3" s="30"/>
      <c r="P3" s="30"/>
      <c r="Q3" s="30"/>
    </row>
    <row r="4" ht="22" customHeight="1" spans="1:17">
      <c r="A4" s="7"/>
      <c r="B4" s="7"/>
      <c r="C4" s="7"/>
      <c r="D4" s="6"/>
      <c r="E4" s="29"/>
      <c r="F4" s="29"/>
      <c r="G4" s="29"/>
      <c r="H4" s="29"/>
      <c r="I4" s="29"/>
      <c r="J4" s="29"/>
      <c r="K4" s="29"/>
      <c r="L4" s="29"/>
      <c r="M4" s="29"/>
      <c r="N4" s="30"/>
      <c r="O4" s="30"/>
      <c r="P4" s="30"/>
      <c r="Q4" s="30"/>
    </row>
    <row r="5" ht="22" customHeight="1" spans="1:17">
      <c r="A5" s="7"/>
      <c r="B5" s="7"/>
      <c r="C5" s="7"/>
      <c r="D5" s="6"/>
      <c r="E5" s="31" t="s">
        <v>3</v>
      </c>
      <c r="F5" s="31"/>
      <c r="G5" s="31"/>
      <c r="H5" s="31"/>
      <c r="I5" s="31"/>
      <c r="J5" s="31"/>
      <c r="K5" s="31"/>
      <c r="L5" s="31"/>
      <c r="M5" s="31"/>
      <c r="N5" s="30"/>
      <c r="O5" s="30"/>
      <c r="P5" s="30"/>
      <c r="Q5" s="30"/>
    </row>
    <row r="6" ht="22" customHeight="1" spans="1:17">
      <c r="A6" s="5"/>
      <c r="B6" s="5"/>
      <c r="C6" s="5"/>
      <c r="D6" s="6"/>
      <c r="E6" s="31"/>
      <c r="F6" s="31"/>
      <c r="G6" s="31"/>
      <c r="H6" s="31"/>
      <c r="I6" s="31"/>
      <c r="J6" s="31"/>
      <c r="K6" s="31"/>
      <c r="L6" s="31"/>
      <c r="M6" s="31"/>
      <c r="N6" s="30"/>
      <c r="O6" s="30"/>
      <c r="P6" s="30"/>
      <c r="Q6" s="30"/>
    </row>
    <row r="7" ht="22" customHeight="1" spans="1:17">
      <c r="A7" s="11" t="s">
        <v>4</v>
      </c>
      <c r="B7" s="11"/>
      <c r="C7" s="11"/>
      <c r="D7" s="6"/>
      <c r="E7" s="31"/>
      <c r="F7" s="31"/>
      <c r="G7" s="31"/>
      <c r="H7" s="31"/>
      <c r="I7" s="31"/>
      <c r="J7" s="31"/>
      <c r="K7" s="31"/>
      <c r="L7" s="31"/>
      <c r="M7" s="31"/>
      <c r="N7" s="30"/>
      <c r="O7" s="30"/>
      <c r="P7" s="30"/>
      <c r="Q7" s="30"/>
    </row>
    <row r="8" ht="22" customHeight="1" spans="1:17">
      <c r="A8" s="11"/>
      <c r="B8" s="11"/>
      <c r="C8" s="11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</row>
    <row r="9" ht="22" customHeight="1" spans="1:17">
      <c r="A9" s="5"/>
      <c r="B9" s="5"/>
      <c r="C9" s="5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ht="22" customHeight="1" spans="1:17">
      <c r="A10" s="10" t="s">
        <v>5</v>
      </c>
      <c r="B10" s="10"/>
      <c r="C10" s="10"/>
      <c r="D10" s="6"/>
      <c r="E10" s="32" t="s">
        <v>6</v>
      </c>
      <c r="F10" s="32"/>
      <c r="G10" s="32"/>
      <c r="H10" s="33" t="s">
        <v>7</v>
      </c>
      <c r="I10" s="33"/>
      <c r="J10" s="33"/>
      <c r="K10" s="34" t="s">
        <v>8</v>
      </c>
      <c r="L10" s="34"/>
      <c r="M10" s="34"/>
      <c r="N10" s="35" t="s">
        <v>9</v>
      </c>
      <c r="O10" s="35"/>
      <c r="P10" s="35"/>
      <c r="Q10" s="6"/>
    </row>
    <row r="11" ht="22" customHeight="1" spans="1:17">
      <c r="A11" s="10"/>
      <c r="B11" s="10"/>
      <c r="C11" s="10"/>
      <c r="D11" s="6"/>
      <c r="E11" s="32"/>
      <c r="F11" s="32"/>
      <c r="G11" s="32"/>
      <c r="H11" s="33"/>
      <c r="I11" s="33"/>
      <c r="J11" s="33"/>
      <c r="K11" s="34"/>
      <c r="L11" s="34"/>
      <c r="M11" s="34"/>
      <c r="N11" s="35"/>
      <c r="O11" s="35"/>
      <c r="P11" s="35"/>
      <c r="Q11" s="6"/>
    </row>
    <row r="12" ht="22" customHeight="1" spans="1:17">
      <c r="A12" s="5"/>
      <c r="B12" s="5"/>
      <c r="C12" s="5"/>
      <c r="D12" s="6"/>
      <c r="E12" s="32"/>
      <c r="F12" s="32"/>
      <c r="G12" s="32"/>
      <c r="H12" s="33"/>
      <c r="I12" s="33"/>
      <c r="J12" s="33"/>
      <c r="K12" s="34"/>
      <c r="L12" s="34"/>
      <c r="M12" s="34"/>
      <c r="N12" s="35"/>
      <c r="O12" s="35"/>
      <c r="P12" s="35"/>
      <c r="Q12" s="6"/>
    </row>
    <row r="13" ht="22" customHeight="1" spans="1:17">
      <c r="A13" s="10" t="s">
        <v>10</v>
      </c>
      <c r="B13" s="10"/>
      <c r="C13" s="10"/>
      <c r="D13" s="6"/>
      <c r="E13" s="32"/>
      <c r="F13" s="32"/>
      <c r="G13" s="32"/>
      <c r="H13" s="33"/>
      <c r="I13" s="33"/>
      <c r="J13" s="33"/>
      <c r="K13" s="34"/>
      <c r="L13" s="34"/>
      <c r="M13" s="34"/>
      <c r="N13" s="35"/>
      <c r="O13" s="35"/>
      <c r="P13" s="35"/>
      <c r="Q13" s="6"/>
    </row>
    <row r="14" ht="22" customHeight="1" spans="1:17">
      <c r="A14" s="10"/>
      <c r="B14" s="10"/>
      <c r="C14" s="10"/>
      <c r="D14" s="6"/>
      <c r="E14" s="32"/>
      <c r="F14" s="32"/>
      <c r="G14" s="32"/>
      <c r="H14" s="33"/>
      <c r="I14" s="33"/>
      <c r="J14" s="33"/>
      <c r="K14" s="34"/>
      <c r="L14" s="34"/>
      <c r="M14" s="34"/>
      <c r="N14" s="35"/>
      <c r="O14" s="35"/>
      <c r="P14" s="35"/>
      <c r="Q14" s="6"/>
    </row>
    <row r="15" ht="22" customHeight="1" spans="1:17">
      <c r="A15" s="5"/>
      <c r="B15" s="5"/>
      <c r="C15" s="5"/>
      <c r="D15" s="6"/>
      <c r="E15" s="32"/>
      <c r="F15" s="32"/>
      <c r="G15" s="32"/>
      <c r="H15" s="33"/>
      <c r="I15" s="33"/>
      <c r="J15" s="33"/>
      <c r="K15" s="34"/>
      <c r="L15" s="34"/>
      <c r="M15" s="34"/>
      <c r="N15" s="35"/>
      <c r="O15" s="35"/>
      <c r="P15" s="35"/>
      <c r="Q15" s="6"/>
    </row>
    <row r="16" ht="22" customHeight="1" spans="1:17">
      <c r="A16" s="10" t="s">
        <v>11</v>
      </c>
      <c r="B16" s="10"/>
      <c r="C16" s="10"/>
      <c r="D16" s="6"/>
      <c r="E16" s="32"/>
      <c r="F16" s="32"/>
      <c r="G16" s="32"/>
      <c r="H16" s="33"/>
      <c r="I16" s="33"/>
      <c r="J16" s="33"/>
      <c r="K16" s="34"/>
      <c r="L16" s="34"/>
      <c r="M16" s="34"/>
      <c r="N16" s="35"/>
      <c r="O16" s="35"/>
      <c r="P16" s="35"/>
      <c r="Q16" s="6"/>
    </row>
    <row r="17" ht="22" customHeight="1" spans="1:17">
      <c r="A17" s="10"/>
      <c r="B17" s="10"/>
      <c r="C17" s="10"/>
      <c r="D17" s="6"/>
      <c r="E17" s="32"/>
      <c r="F17" s="32"/>
      <c r="G17" s="32"/>
      <c r="H17" s="33"/>
      <c r="I17" s="33"/>
      <c r="J17" s="33"/>
      <c r="K17" s="34"/>
      <c r="L17" s="34"/>
      <c r="M17" s="34"/>
      <c r="N17" s="35"/>
      <c r="O17" s="35"/>
      <c r="P17" s="35"/>
      <c r="Q17" s="6"/>
    </row>
    <row r="18" ht="22" customHeight="1" spans="1:17">
      <c r="A18" s="5"/>
      <c r="B18" s="5"/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ht="22" customHeight="1" spans="1:17">
      <c r="A19" s="10" t="s">
        <v>12</v>
      </c>
      <c r="B19" s="10"/>
      <c r="C19" s="10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ht="22" customHeight="1" spans="1:17">
      <c r="A20" s="10"/>
      <c r="B20" s="10"/>
      <c r="C20" s="10"/>
      <c r="D20" s="6"/>
      <c r="E20" s="36" t="s">
        <v>13</v>
      </c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6"/>
    </row>
    <row r="21" ht="22" customHeight="1" spans="1:17">
      <c r="A21" s="5"/>
      <c r="B21" s="5"/>
      <c r="C21" s="5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ht="22" customHeight="1" spans="1:17">
      <c r="A22" s="10" t="s">
        <v>14</v>
      </c>
      <c r="B22" s="10"/>
      <c r="C22" s="10"/>
      <c r="D22" s="6"/>
      <c r="E22" s="37">
        <f>COUNTA(RAW_DATA!A2:A301)</f>
        <v>300</v>
      </c>
      <c r="F22" s="37"/>
      <c r="G22" s="37"/>
      <c r="H22" s="37">
        <f>COUNTIFS(RAW_DATA!P2:P301,"New")+COUNTIFS(RAW_DATA!P2:P301,"Existing")</f>
        <v>300</v>
      </c>
      <c r="I22" s="37"/>
      <c r="J22" s="37"/>
      <c r="K22" s="38">
        <f>SUM(RAW_DATA!N2:N301)</f>
        <v>13710890</v>
      </c>
      <c r="L22" s="38"/>
      <c r="M22" s="38"/>
      <c r="N22" s="38">
        <f>SUM(RAW_DATA!L2:L301)/COUNTA(RAW_DATA!A2:A301)</f>
        <v>144225.7</v>
      </c>
      <c r="O22" s="38"/>
      <c r="P22" s="38"/>
      <c r="Q22" s="6"/>
    </row>
    <row r="23" ht="22" customHeight="1" spans="1:17">
      <c r="A23" s="10"/>
      <c r="B23" s="10"/>
      <c r="C23" s="10"/>
      <c r="D23" s="6"/>
      <c r="E23" s="37"/>
      <c r="F23" s="37"/>
      <c r="G23" s="37"/>
      <c r="H23" s="37"/>
      <c r="I23" s="37"/>
      <c r="J23" s="37"/>
      <c r="K23" s="38"/>
      <c r="L23" s="38"/>
      <c r="M23" s="38"/>
      <c r="N23" s="38"/>
      <c r="O23" s="38"/>
      <c r="P23" s="38"/>
      <c r="Q23" s="6"/>
    </row>
    <row r="24" ht="22" customHeight="1" spans="1:17">
      <c r="A24" s="5"/>
      <c r="B24" s="5"/>
      <c r="C24" s="5"/>
      <c r="D24" s="6"/>
      <c r="E24" s="37"/>
      <c r="F24" s="37"/>
      <c r="G24" s="37"/>
      <c r="H24" s="37"/>
      <c r="I24" s="37"/>
      <c r="J24" s="37"/>
      <c r="K24" s="38"/>
      <c r="L24" s="38"/>
      <c r="M24" s="38"/>
      <c r="N24" s="38"/>
      <c r="O24" s="38"/>
      <c r="P24" s="38"/>
      <c r="Q24" s="6"/>
    </row>
    <row r="25" ht="22" customHeight="1" spans="1:17">
      <c r="A25" s="10" t="s">
        <v>15</v>
      </c>
      <c r="B25" s="10"/>
      <c r="C25" s="10"/>
      <c r="D25" s="6"/>
      <c r="E25" s="37"/>
      <c r="F25" s="37"/>
      <c r="G25" s="37"/>
      <c r="H25" s="37"/>
      <c r="I25" s="37"/>
      <c r="J25" s="37"/>
      <c r="K25" s="38"/>
      <c r="L25" s="38"/>
      <c r="M25" s="38"/>
      <c r="N25" s="38"/>
      <c r="O25" s="38"/>
      <c r="P25" s="38"/>
      <c r="Q25" s="6"/>
    </row>
    <row r="26" ht="22" customHeight="1" spans="1:17">
      <c r="A26" s="10"/>
      <c r="B26" s="10"/>
      <c r="C26" s="10"/>
      <c r="D26" s="6"/>
      <c r="E26" s="37"/>
      <c r="F26" s="37"/>
      <c r="G26" s="37"/>
      <c r="H26" s="37"/>
      <c r="I26" s="37"/>
      <c r="J26" s="37"/>
      <c r="K26" s="38"/>
      <c r="L26" s="38"/>
      <c r="M26" s="38"/>
      <c r="N26" s="38"/>
      <c r="O26" s="38"/>
      <c r="P26" s="38"/>
      <c r="Q26" s="6"/>
    </row>
    <row r="27" ht="22" customHeight="1" spans="1:17">
      <c r="A27" s="5"/>
      <c r="B27" s="5"/>
      <c r="C27" s="5"/>
      <c r="D27" s="6"/>
      <c r="E27" s="37"/>
      <c r="F27" s="37"/>
      <c r="G27" s="37"/>
      <c r="H27" s="37"/>
      <c r="I27" s="37"/>
      <c r="J27" s="37"/>
      <c r="K27" s="38"/>
      <c r="L27" s="38"/>
      <c r="M27" s="38"/>
      <c r="N27" s="38"/>
      <c r="O27" s="38"/>
      <c r="P27" s="38"/>
      <c r="Q27" s="6"/>
    </row>
    <row r="28" ht="22" customHeight="1" spans="1:17">
      <c r="A28" s="5"/>
      <c r="B28" s="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ht="22" customHeight="1" spans="1:17">
      <c r="A29" s="5"/>
      <c r="B29" s="5"/>
      <c r="C29" s="5"/>
      <c r="D29" s="6"/>
      <c r="E29" s="39" t="s">
        <v>16</v>
      </c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6"/>
    </row>
    <row r="30" ht="22" customHeight="1" spans="1:17">
      <c r="A30" s="5"/>
      <c r="B30" s="5"/>
      <c r="C30" s="5"/>
      <c r="D30" s="6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6"/>
    </row>
    <row r="31" ht="22" customHeight="1" spans="1:17">
      <c r="A31" s="5"/>
      <c r="B31" s="5"/>
      <c r="C31" s="5"/>
      <c r="D31" s="6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6"/>
    </row>
    <row r="32" ht="22" customHeight="1" spans="1:17">
      <c r="A32" s="5"/>
      <c r="B32" s="5"/>
      <c r="C32" s="5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ht="22" customHeight="1" spans="1:17">
      <c r="A33" s="5"/>
      <c r="B33" s="5"/>
      <c r="C33" s="5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ht="22" customHeight="1" spans="1:17">
      <c r="A34" s="5"/>
      <c r="B34" s="5"/>
      <c r="C34" s="5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ht="22" customHeight="1" spans="1:17">
      <c r="A35" s="5"/>
      <c r="B35" s="5"/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ht="22" customHeight="1" spans="1:17">
      <c r="A36" s="5"/>
      <c r="B36" s="5"/>
      <c r="C36" s="5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ht="22" customHeight="1" spans="1:17">
      <c r="A37" s="5"/>
      <c r="B37" s="5"/>
      <c r="C37" s="5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ht="22" customHeight="1" spans="1:17">
      <c r="A38" s="5"/>
      <c r="B38" s="5"/>
      <c r="C38" s="5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ht="22" customHeight="1" spans="1:17">
      <c r="A39" s="12" t="s">
        <v>17</v>
      </c>
      <c r="B39" s="12"/>
      <c r="C39" s="12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ht="22" customHeight="1" spans="1:17">
      <c r="A40" s="12"/>
      <c r="B40" s="12"/>
      <c r="C40" s="12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ht="22" customHeight="1" spans="1:17">
      <c r="A41" s="12"/>
      <c r="B41" s="12"/>
      <c r="C41" s="1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ht="22" customHeight="1" spans="1:17">
      <c r="A42" s="12"/>
      <c r="B42" s="12"/>
      <c r="C42" s="12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ht="22" customHeight="1" spans="1:17">
      <c r="A43" s="12"/>
      <c r="B43" s="12"/>
      <c r="C43" s="12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ht="22" customHeight="1" spans="1:17">
      <c r="A44" s="5"/>
      <c r="B44" s="5"/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ht="22" customHeight="1" spans="1:17">
      <c r="A45" s="5"/>
      <c r="B45" s="5"/>
      <c r="C45" s="5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ht="22" customHeight="1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ht="22" customHeight="1" spans="1:1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ht="22" customHeight="1" spans="1:17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ht="22" customHeight="1" spans="1:17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ht="22" customHeight="1" spans="1:17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ht="22" customHeight="1" spans="1:17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ht="22" customHeight="1" spans="1:17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ht="22" customHeight="1" spans="1:17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ht="22" customHeight="1" spans="1:17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ht="22" customHeight="1" spans="1:17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ht="22" customHeight="1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ht="22" customHeight="1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ht="22" customHeight="1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ht="22" customHeight="1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ht="22" customHeight="1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</sheetData>
  <mergeCells count="23">
    <mergeCell ref="N2:Q2"/>
    <mergeCell ref="E20:P20"/>
    <mergeCell ref="A2:C5"/>
    <mergeCell ref="A7:C8"/>
    <mergeCell ref="A10:C11"/>
    <mergeCell ref="A13:C14"/>
    <mergeCell ref="A16:C17"/>
    <mergeCell ref="A19:C20"/>
    <mergeCell ref="A22:C23"/>
    <mergeCell ref="A25:C26"/>
    <mergeCell ref="A39:C43"/>
    <mergeCell ref="E3:M4"/>
    <mergeCell ref="E5:M7"/>
    <mergeCell ref="N3:Q7"/>
    <mergeCell ref="E10:G17"/>
    <mergeCell ref="H10:J17"/>
    <mergeCell ref="K10:M17"/>
    <mergeCell ref="N10:P17"/>
    <mergeCell ref="E22:G27"/>
    <mergeCell ref="H22:J27"/>
    <mergeCell ref="K22:M27"/>
    <mergeCell ref="N22:P27"/>
    <mergeCell ref="E29:P31"/>
  </mergeCell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60"/>
  <sheetViews>
    <sheetView workbookViewId="0">
      <selection activeCell="A1" sqref="A1"/>
    </sheetView>
  </sheetViews>
  <sheetFormatPr defaultColWidth="9" defaultRowHeight="13.8"/>
  <cols>
    <col min="1" max="17" width="11" customWidth="1"/>
  </cols>
  <sheetData>
    <row r="1" ht="22" customHeight="1" spans="1:17">
      <c r="A1" s="5"/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ht="22" customHeight="1" spans="1:17">
      <c r="A2" s="7" t="s">
        <v>0</v>
      </c>
      <c r="B2" s="7"/>
      <c r="C2" s="7"/>
      <c r="D2" s="6"/>
      <c r="E2" s="8" t="s">
        <v>18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6"/>
    </row>
    <row r="3" ht="22" customHeight="1" spans="1:17">
      <c r="A3" s="7"/>
      <c r="B3" s="7"/>
      <c r="C3" s="7"/>
      <c r="D3" s="6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6"/>
    </row>
    <row r="4" ht="22" customHeight="1" spans="1:17">
      <c r="A4" s="7"/>
      <c r="B4" s="7"/>
      <c r="C4" s="7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</row>
    <row r="5" ht="22" customHeight="1" spans="1:17">
      <c r="A5" s="7"/>
      <c r="B5" s="7"/>
      <c r="C5" s="7"/>
      <c r="D5" s="6"/>
      <c r="E5" s="24">
        <f>SUM(RAW_DATA!L2:L301)</f>
        <v>43267710</v>
      </c>
      <c r="F5" s="24"/>
      <c r="G5" s="24"/>
      <c r="H5" s="24">
        <f>SUM(RAW_DATA!N2:N301)</f>
        <v>13710890</v>
      </c>
      <c r="I5" s="24"/>
      <c r="J5" s="24"/>
      <c r="K5" s="25">
        <f>SUM(RAW_DATA!J2:J301)</f>
        <v>2443</v>
      </c>
      <c r="L5" s="25"/>
      <c r="M5" s="25"/>
      <c r="N5" s="26">
        <f>SUM(RAW_DATA!L2:L301)/SUM(RAW_DATA!R2:R301)</f>
        <v>0.952246712517194</v>
      </c>
      <c r="O5" s="26"/>
      <c r="P5" s="26"/>
      <c r="Q5" s="6"/>
    </row>
    <row r="6" ht="22" customHeight="1" spans="1:17">
      <c r="A6" s="5"/>
      <c r="B6" s="5"/>
      <c r="C6" s="5"/>
      <c r="D6" s="6"/>
      <c r="E6" s="24"/>
      <c r="F6" s="24"/>
      <c r="G6" s="24"/>
      <c r="H6" s="24"/>
      <c r="I6" s="24"/>
      <c r="J6" s="24"/>
      <c r="K6" s="25"/>
      <c r="L6" s="25"/>
      <c r="M6" s="25"/>
      <c r="N6" s="26"/>
      <c r="O6" s="26"/>
      <c r="P6" s="26"/>
      <c r="Q6" s="6"/>
    </row>
    <row r="7" ht="22" customHeight="1" spans="1:17">
      <c r="A7" s="10" t="s">
        <v>4</v>
      </c>
      <c r="B7" s="10"/>
      <c r="C7" s="10"/>
      <c r="D7" s="6"/>
      <c r="E7" s="24"/>
      <c r="F7" s="24"/>
      <c r="G7" s="24"/>
      <c r="H7" s="24"/>
      <c r="I7" s="24"/>
      <c r="J7" s="24"/>
      <c r="K7" s="25"/>
      <c r="L7" s="25"/>
      <c r="M7" s="25"/>
      <c r="N7" s="26"/>
      <c r="O7" s="26"/>
      <c r="P7" s="26"/>
      <c r="Q7" s="6"/>
    </row>
    <row r="8" ht="22" customHeight="1" spans="1:17">
      <c r="A8" s="10"/>
      <c r="B8" s="10"/>
      <c r="C8" s="10"/>
      <c r="D8" s="6"/>
      <c r="E8" s="24"/>
      <c r="F8" s="24"/>
      <c r="G8" s="24"/>
      <c r="H8" s="24"/>
      <c r="I8" s="24"/>
      <c r="J8" s="24"/>
      <c r="K8" s="25"/>
      <c r="L8" s="25"/>
      <c r="M8" s="25"/>
      <c r="N8" s="26"/>
      <c r="O8" s="26"/>
      <c r="P8" s="26"/>
      <c r="Q8" s="6"/>
    </row>
    <row r="9" ht="22" customHeight="1" spans="1:17">
      <c r="A9" s="5"/>
      <c r="B9" s="5"/>
      <c r="C9" s="5"/>
      <c r="D9" s="6"/>
      <c r="E9" s="24"/>
      <c r="F9" s="24"/>
      <c r="G9" s="24"/>
      <c r="H9" s="24"/>
      <c r="I9" s="24"/>
      <c r="J9" s="24"/>
      <c r="K9" s="25"/>
      <c r="L9" s="25"/>
      <c r="M9" s="25"/>
      <c r="N9" s="26"/>
      <c r="O9" s="26"/>
      <c r="P9" s="26"/>
      <c r="Q9" s="6"/>
    </row>
    <row r="10" ht="22" customHeight="1" spans="1:17">
      <c r="A10" s="11" t="s">
        <v>5</v>
      </c>
      <c r="B10" s="11"/>
      <c r="C10" s="11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</row>
    <row r="11" ht="22" customHeight="1" spans="1:17">
      <c r="A11" s="11"/>
      <c r="B11" s="11"/>
      <c r="C11" s="11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ht="22" customHeight="1" spans="1:17">
      <c r="A12" s="5"/>
      <c r="B12" s="5"/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</row>
    <row r="13" ht="22" customHeight="1" spans="1:17">
      <c r="A13" s="10" t="s">
        <v>10</v>
      </c>
      <c r="B13" s="10"/>
      <c r="C13" s="10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ht="22" customHeight="1" spans="1:17">
      <c r="A14" s="10"/>
      <c r="B14" s="10"/>
      <c r="C14" s="10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</row>
    <row r="15" ht="22" customHeight="1" spans="1:17">
      <c r="A15" s="5"/>
      <c r="B15" s="5"/>
      <c r="C15" s="5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ht="22" customHeight="1" spans="1:17">
      <c r="A16" s="10" t="s">
        <v>11</v>
      </c>
      <c r="B16" s="10"/>
      <c r="C16" s="10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ht="22" customHeight="1" spans="1:17">
      <c r="A17" s="10"/>
      <c r="B17" s="10"/>
      <c r="C17" s="10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ht="22" customHeight="1" spans="1:17">
      <c r="A18" s="5"/>
      <c r="B18" s="5"/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ht="22" customHeight="1" spans="1:17">
      <c r="A19" s="10" t="s">
        <v>12</v>
      </c>
      <c r="B19" s="10"/>
      <c r="C19" s="10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ht="22" customHeight="1" spans="1:17">
      <c r="A20" s="10"/>
      <c r="B20" s="10"/>
      <c r="C20" s="10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</row>
    <row r="21" ht="22" customHeight="1" spans="1:17">
      <c r="A21" s="5"/>
      <c r="B21" s="5"/>
      <c r="C21" s="5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ht="22" customHeight="1" spans="1:17">
      <c r="A22" s="10" t="s">
        <v>14</v>
      </c>
      <c r="B22" s="10"/>
      <c r="C22" s="10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ht="22" customHeight="1" spans="1:17">
      <c r="A23" s="10"/>
      <c r="B23" s="10"/>
      <c r="C23" s="10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ht="22" customHeight="1" spans="1:17">
      <c r="A24" s="5"/>
      <c r="B24" s="5"/>
      <c r="C24" s="5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</row>
    <row r="25" ht="22" customHeight="1" spans="1:17">
      <c r="A25" s="10" t="s">
        <v>15</v>
      </c>
      <c r="B25" s="10"/>
      <c r="C25" s="10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ht="22" customHeight="1" spans="1:17">
      <c r="A26" s="10"/>
      <c r="B26" s="10"/>
      <c r="C26" s="10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ht="22" customHeight="1" spans="1:17">
      <c r="A27" s="5"/>
      <c r="B27" s="5"/>
      <c r="C27" s="5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ht="22" customHeight="1" spans="1:17">
      <c r="A28" s="5"/>
      <c r="B28" s="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ht="22" customHeight="1" spans="1:17">
      <c r="A29" s="5"/>
      <c r="B29" s="5"/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27" t="s">
        <v>19</v>
      </c>
      <c r="O29" s="27"/>
      <c r="P29" s="27"/>
      <c r="Q29" s="6"/>
    </row>
    <row r="30" ht="22" customHeight="1" spans="1:17">
      <c r="A30" s="5"/>
      <c r="B30" s="5"/>
      <c r="C30" s="5"/>
      <c r="D30" s="6"/>
      <c r="E30" s="6"/>
      <c r="F30" s="6"/>
      <c r="G30" s="6"/>
      <c r="H30" s="6"/>
      <c r="I30" s="6"/>
      <c r="J30" s="6"/>
      <c r="K30" s="6"/>
      <c r="L30" s="6"/>
      <c r="M30" s="6"/>
      <c r="N30" s="27"/>
      <c r="O30" s="27"/>
      <c r="P30" s="27"/>
      <c r="Q30" s="6"/>
    </row>
    <row r="31" ht="22" customHeight="1" spans="1:17">
      <c r="A31" s="5"/>
      <c r="B31" s="5"/>
      <c r="C31" s="5"/>
      <c r="D31" s="6"/>
      <c r="E31" s="6"/>
      <c r="F31" s="6"/>
      <c r="G31" s="6"/>
      <c r="H31" s="6"/>
      <c r="I31" s="6"/>
      <c r="J31" s="6"/>
      <c r="K31" s="6"/>
      <c r="L31" s="6"/>
      <c r="M31" s="6"/>
      <c r="N31" s="27"/>
      <c r="O31" s="27"/>
      <c r="P31" s="27"/>
      <c r="Q31" s="6"/>
    </row>
    <row r="32" ht="22" customHeight="1" spans="1:17">
      <c r="A32" s="5"/>
      <c r="B32" s="5"/>
      <c r="C32" s="5"/>
      <c r="D32" s="6"/>
      <c r="E32" s="6"/>
      <c r="F32" s="6"/>
      <c r="G32" s="6"/>
      <c r="H32" s="6"/>
      <c r="I32" s="6"/>
      <c r="J32" s="6"/>
      <c r="K32" s="6"/>
      <c r="L32" s="6"/>
      <c r="M32" s="6"/>
      <c r="N32" s="27"/>
      <c r="O32" s="27"/>
      <c r="P32" s="27"/>
      <c r="Q32" s="6"/>
    </row>
    <row r="33" ht="22" customHeight="1" spans="1:17">
      <c r="A33" s="5"/>
      <c r="B33" s="5"/>
      <c r="C33" s="5"/>
      <c r="D33" s="6"/>
      <c r="E33" s="6"/>
      <c r="F33" s="6"/>
      <c r="G33" s="6"/>
      <c r="H33" s="6"/>
      <c r="I33" s="6"/>
      <c r="J33" s="6"/>
      <c r="K33" s="6"/>
      <c r="L33" s="6"/>
      <c r="M33" s="6"/>
      <c r="N33" s="27"/>
      <c r="O33" s="27"/>
      <c r="P33" s="27"/>
      <c r="Q33" s="6"/>
    </row>
    <row r="34" ht="22" customHeight="1" spans="1:17">
      <c r="A34" s="5"/>
      <c r="B34" s="5"/>
      <c r="C34" s="5"/>
      <c r="D34" s="6"/>
      <c r="E34" s="6"/>
      <c r="F34" s="6"/>
      <c r="G34" s="6"/>
      <c r="H34" s="6"/>
      <c r="I34" s="6"/>
      <c r="J34" s="6"/>
      <c r="K34" s="6"/>
      <c r="L34" s="6"/>
      <c r="M34" s="6"/>
      <c r="N34" s="27"/>
      <c r="O34" s="27"/>
      <c r="P34" s="27"/>
      <c r="Q34" s="6"/>
    </row>
    <row r="35" ht="22" customHeight="1" spans="1:17">
      <c r="A35" s="5"/>
      <c r="B35" s="5"/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27"/>
      <c r="O35" s="27"/>
      <c r="P35" s="27"/>
      <c r="Q35" s="6"/>
    </row>
    <row r="36" ht="22" customHeight="1" spans="1:17">
      <c r="A36" s="5"/>
      <c r="B36" s="5"/>
      <c r="C36" s="5"/>
      <c r="D36" s="6"/>
      <c r="E36" s="6"/>
      <c r="F36" s="6"/>
      <c r="G36" s="6"/>
      <c r="H36" s="6"/>
      <c r="I36" s="6"/>
      <c r="J36" s="6"/>
      <c r="K36" s="6"/>
      <c r="L36" s="6"/>
      <c r="M36" s="6"/>
      <c r="N36" s="27"/>
      <c r="O36" s="27"/>
      <c r="P36" s="27"/>
      <c r="Q36" s="6"/>
    </row>
    <row r="37" ht="22" customHeight="1" spans="1:17">
      <c r="A37" s="5"/>
      <c r="B37" s="5"/>
      <c r="C37" s="5"/>
      <c r="D37" s="6"/>
      <c r="E37" s="6"/>
      <c r="F37" s="6"/>
      <c r="G37" s="6"/>
      <c r="H37" s="6"/>
      <c r="I37" s="6"/>
      <c r="J37" s="6"/>
      <c r="K37" s="6"/>
      <c r="L37" s="6"/>
      <c r="M37" s="6"/>
      <c r="N37" s="27"/>
      <c r="O37" s="27"/>
      <c r="P37" s="27"/>
      <c r="Q37" s="6"/>
    </row>
    <row r="38" ht="22" customHeight="1" spans="1:17">
      <c r="A38" s="5"/>
      <c r="B38" s="5"/>
      <c r="C38" s="5"/>
      <c r="D38" s="6"/>
      <c r="E38" s="6"/>
      <c r="F38" s="6"/>
      <c r="G38" s="6"/>
      <c r="H38" s="6"/>
      <c r="I38" s="6"/>
      <c r="J38" s="6"/>
      <c r="K38" s="6"/>
      <c r="L38" s="6"/>
      <c r="M38" s="6"/>
      <c r="N38" s="27"/>
      <c r="O38" s="27"/>
      <c r="P38" s="27"/>
      <c r="Q38" s="6"/>
    </row>
    <row r="39" ht="22" customHeight="1" spans="1:17">
      <c r="A39" s="12" t="s">
        <v>17</v>
      </c>
      <c r="B39" s="12"/>
      <c r="C39" s="12"/>
      <c r="D39" s="6"/>
      <c r="E39" s="6"/>
      <c r="F39" s="6"/>
      <c r="G39" s="6"/>
      <c r="H39" s="6"/>
      <c r="I39" s="6"/>
      <c r="J39" s="6"/>
      <c r="K39" s="6"/>
      <c r="L39" s="6"/>
      <c r="M39" s="6"/>
      <c r="N39" s="27"/>
      <c r="O39" s="27"/>
      <c r="P39" s="27"/>
      <c r="Q39" s="6"/>
    </row>
    <row r="40" ht="22" customHeight="1" spans="1:17">
      <c r="A40" s="12"/>
      <c r="B40" s="12"/>
      <c r="C40" s="12"/>
      <c r="D40" s="6"/>
      <c r="E40" s="6"/>
      <c r="F40" s="6"/>
      <c r="G40" s="6"/>
      <c r="H40" s="6"/>
      <c r="I40" s="6"/>
      <c r="J40" s="6"/>
      <c r="K40" s="6"/>
      <c r="L40" s="6"/>
      <c r="M40" s="6"/>
      <c r="N40" s="27"/>
      <c r="O40" s="27"/>
      <c r="P40" s="27"/>
      <c r="Q40" s="6"/>
    </row>
    <row r="41" ht="22" customHeight="1" spans="1:17">
      <c r="A41" s="12"/>
      <c r="B41" s="12"/>
      <c r="C41" s="12"/>
      <c r="D41" s="6"/>
      <c r="E41" s="6"/>
      <c r="F41" s="6"/>
      <c r="G41" s="6"/>
      <c r="H41" s="6"/>
      <c r="I41" s="6"/>
      <c r="J41" s="6"/>
      <c r="K41" s="6"/>
      <c r="L41" s="6"/>
      <c r="M41" s="6"/>
      <c r="N41" s="27"/>
      <c r="O41" s="27"/>
      <c r="P41" s="27"/>
      <c r="Q41" s="6"/>
    </row>
    <row r="42" ht="22" customHeight="1" spans="1:17">
      <c r="A42" s="12"/>
      <c r="B42" s="12"/>
      <c r="C42" s="12"/>
      <c r="D42" s="6"/>
      <c r="E42" s="6"/>
      <c r="F42" s="6"/>
      <c r="G42" s="6"/>
      <c r="H42" s="6"/>
      <c r="I42" s="6"/>
      <c r="J42" s="6"/>
      <c r="K42" s="6"/>
      <c r="L42" s="6"/>
      <c r="M42" s="6"/>
      <c r="N42" s="27"/>
      <c r="O42" s="27"/>
      <c r="P42" s="27"/>
      <c r="Q42" s="6"/>
    </row>
    <row r="43" ht="22" customHeight="1" spans="1:17">
      <c r="A43" s="12"/>
      <c r="B43" s="12"/>
      <c r="C43" s="12"/>
      <c r="D43" s="6"/>
      <c r="E43" s="6"/>
      <c r="F43" s="6"/>
      <c r="G43" s="6"/>
      <c r="H43" s="6"/>
      <c r="I43" s="6"/>
      <c r="J43" s="6"/>
      <c r="K43" s="6"/>
      <c r="L43" s="6"/>
      <c r="M43" s="6"/>
      <c r="N43" s="27"/>
      <c r="O43" s="27"/>
      <c r="P43" s="27"/>
      <c r="Q43" s="6"/>
    </row>
    <row r="44" ht="22" customHeight="1" spans="1:17">
      <c r="A44" s="5"/>
      <c r="B44" s="5"/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27"/>
      <c r="O44" s="27"/>
      <c r="P44" s="27"/>
      <c r="Q44" s="6"/>
    </row>
    <row r="45" ht="22" customHeight="1" spans="1:17">
      <c r="A45" s="5"/>
      <c r="B45" s="5"/>
      <c r="C45" s="5"/>
      <c r="D45" s="6"/>
      <c r="E45" s="6"/>
      <c r="F45" s="6"/>
      <c r="G45" s="6"/>
      <c r="H45" s="6"/>
      <c r="I45" s="6"/>
      <c r="J45" s="6"/>
      <c r="K45" s="6"/>
      <c r="L45" s="6"/>
      <c r="M45" s="6"/>
      <c r="N45" s="27"/>
      <c r="O45" s="27"/>
      <c r="P45" s="27"/>
      <c r="Q45" s="6"/>
    </row>
    <row r="46" ht="22" customHeight="1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ht="22" customHeight="1" spans="1:1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ht="22" customHeight="1" spans="1:17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ht="22" customHeight="1" spans="1:17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ht="22" customHeight="1" spans="1:17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ht="22" customHeight="1" spans="1:17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ht="22" customHeight="1" spans="1:17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ht="22" customHeight="1" spans="1:17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ht="22" customHeight="1" spans="1:17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ht="22" customHeight="1" spans="1:17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ht="22" customHeight="1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ht="22" customHeight="1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ht="22" customHeight="1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ht="22" customHeight="1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ht="22" customHeight="1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</sheetData>
  <mergeCells count="15">
    <mergeCell ref="A2:C5"/>
    <mergeCell ref="A7:C8"/>
    <mergeCell ref="A10:C11"/>
    <mergeCell ref="A13:C14"/>
    <mergeCell ref="A16:C17"/>
    <mergeCell ref="A19:C20"/>
    <mergeCell ref="A22:C23"/>
    <mergeCell ref="A25:C26"/>
    <mergeCell ref="A39:C43"/>
    <mergeCell ref="E2:P3"/>
    <mergeCell ref="E5:G9"/>
    <mergeCell ref="H5:J9"/>
    <mergeCell ref="K5:M9"/>
    <mergeCell ref="N5:P9"/>
    <mergeCell ref="N29:P45"/>
  </mergeCells>
  <pageMargins left="0.7" right="0.7" top="0.75" bottom="0.75" header="0.3" footer="0.3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60"/>
  <sheetViews>
    <sheetView workbookViewId="0">
      <selection activeCell="A1" sqref="A1"/>
    </sheetView>
  </sheetViews>
  <sheetFormatPr defaultColWidth="9" defaultRowHeight="13.8"/>
  <cols>
    <col min="1" max="17" width="11" customWidth="1"/>
  </cols>
  <sheetData>
    <row r="1" ht="22" customHeight="1" spans="1:17">
      <c r="A1" s="5"/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ht="22" customHeight="1" spans="1:17">
      <c r="A2" s="7" t="s">
        <v>0</v>
      </c>
      <c r="B2" s="7"/>
      <c r="C2" s="7"/>
      <c r="D2" s="6"/>
      <c r="E2" s="8" t="s">
        <v>10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6"/>
    </row>
    <row r="3" ht="22" customHeight="1" spans="1:17">
      <c r="A3" s="7"/>
      <c r="B3" s="7"/>
      <c r="C3" s="7"/>
      <c r="D3" s="6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6"/>
    </row>
    <row r="4" ht="22" customHeight="1" spans="1:17">
      <c r="A4" s="7"/>
      <c r="B4" s="7"/>
      <c r="C4" s="7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</row>
    <row r="5" ht="22" customHeight="1" spans="1:17">
      <c r="A5" s="7"/>
      <c r="B5" s="7"/>
      <c r="C5" s="7"/>
      <c r="D5" s="6"/>
      <c r="E5" s="20">
        <f>SUM(RAW_DATA!L2:L301)</f>
        <v>43267710</v>
      </c>
      <c r="F5" s="20"/>
      <c r="G5" s="20"/>
      <c r="H5" s="20"/>
      <c r="I5" s="20">
        <f>SUM(RAW_DATA!N2:N301)</f>
        <v>13710890</v>
      </c>
      <c r="J5" s="20"/>
      <c r="K5" s="20"/>
      <c r="L5" s="20"/>
      <c r="M5" s="21">
        <f>SUM(RAW_DATA!L2:L301)/SUM(RAW_DATA!R2:R301)</f>
        <v>0.952246712517194</v>
      </c>
      <c r="N5" s="21"/>
      <c r="O5" s="21"/>
      <c r="P5" s="21"/>
      <c r="Q5" s="6"/>
    </row>
    <row r="6" ht="22" customHeight="1" spans="1:17">
      <c r="A6" s="5"/>
      <c r="B6" s="5"/>
      <c r="C6" s="5"/>
      <c r="D6" s="6"/>
      <c r="E6" s="20"/>
      <c r="F6" s="20"/>
      <c r="G6" s="20"/>
      <c r="H6" s="20"/>
      <c r="I6" s="20"/>
      <c r="J6" s="20"/>
      <c r="K6" s="20"/>
      <c r="L6" s="20"/>
      <c r="M6" s="21"/>
      <c r="N6" s="21"/>
      <c r="O6" s="21"/>
      <c r="P6" s="21"/>
      <c r="Q6" s="6"/>
    </row>
    <row r="7" ht="22" customHeight="1" spans="1:17">
      <c r="A7" s="10" t="s">
        <v>4</v>
      </c>
      <c r="B7" s="10"/>
      <c r="C7" s="10"/>
      <c r="D7" s="6"/>
      <c r="E7" s="20"/>
      <c r="F7" s="20"/>
      <c r="G7" s="20"/>
      <c r="H7" s="20"/>
      <c r="I7" s="20"/>
      <c r="J7" s="20"/>
      <c r="K7" s="20"/>
      <c r="L7" s="20"/>
      <c r="M7" s="21"/>
      <c r="N7" s="21"/>
      <c r="O7" s="21"/>
      <c r="P7" s="21"/>
      <c r="Q7" s="6"/>
    </row>
    <row r="8" ht="22" customHeight="1" spans="1:17">
      <c r="A8" s="10"/>
      <c r="B8" s="10"/>
      <c r="C8" s="10"/>
      <c r="D8" s="6"/>
      <c r="E8" s="20"/>
      <c r="F8" s="20"/>
      <c r="G8" s="20"/>
      <c r="H8" s="20"/>
      <c r="I8" s="20"/>
      <c r="J8" s="20"/>
      <c r="K8" s="20"/>
      <c r="L8" s="20"/>
      <c r="M8" s="21"/>
      <c r="N8" s="21"/>
      <c r="O8" s="21"/>
      <c r="P8" s="21"/>
      <c r="Q8" s="6"/>
    </row>
    <row r="9" ht="22" customHeight="1" spans="1:17">
      <c r="A9" s="5"/>
      <c r="B9" s="5"/>
      <c r="C9" s="5"/>
      <c r="D9" s="6"/>
      <c r="E9" s="20"/>
      <c r="F9" s="20"/>
      <c r="G9" s="20"/>
      <c r="H9" s="20"/>
      <c r="I9" s="20"/>
      <c r="J9" s="20"/>
      <c r="K9" s="20"/>
      <c r="L9" s="20"/>
      <c r="M9" s="21"/>
      <c r="N9" s="21"/>
      <c r="O9" s="21"/>
      <c r="P9" s="21"/>
      <c r="Q9" s="6"/>
    </row>
    <row r="10" ht="22" customHeight="1" spans="1:17">
      <c r="A10" s="10" t="s">
        <v>5</v>
      </c>
      <c r="B10" s="10"/>
      <c r="C10" s="10"/>
      <c r="D10" s="6"/>
      <c r="E10" s="20"/>
      <c r="F10" s="20"/>
      <c r="G10" s="20"/>
      <c r="H10" s="20"/>
      <c r="I10" s="20"/>
      <c r="J10" s="20"/>
      <c r="K10" s="20"/>
      <c r="L10" s="20"/>
      <c r="M10" s="21"/>
      <c r="N10" s="21"/>
      <c r="O10" s="21"/>
      <c r="P10" s="21"/>
      <c r="Q10" s="6"/>
    </row>
    <row r="11" ht="22" customHeight="1" spans="1:17">
      <c r="A11" s="10"/>
      <c r="B11" s="10"/>
      <c r="C11" s="10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ht="22" customHeight="1" spans="1:17">
      <c r="A12" s="5"/>
      <c r="B12" s="5"/>
      <c r="C12" s="5"/>
      <c r="D12" s="6"/>
      <c r="E12" s="22">
        <f>SUM(RAW_DATA!J2:J301)</f>
        <v>2443</v>
      </c>
      <c r="F12" s="22"/>
      <c r="G12" s="22"/>
      <c r="H12" s="22"/>
      <c r="I12" s="21">
        <f>SUM(RAW_DATA!N2:N301)/SUM(RAW_DATA!L2:L301)</f>
        <v>0.316885039675083</v>
      </c>
      <c r="J12" s="21"/>
      <c r="K12" s="21"/>
      <c r="L12" s="21"/>
      <c r="M12" s="23">
        <f>AVERAGE(RAW_DATA!W2:W301)</f>
        <v>4.185</v>
      </c>
      <c r="N12" s="23"/>
      <c r="O12" s="23"/>
      <c r="P12" s="23"/>
      <c r="Q12" s="6"/>
    </row>
    <row r="13" ht="22" customHeight="1" spans="1:17">
      <c r="A13" s="11" t="s">
        <v>10</v>
      </c>
      <c r="B13" s="11"/>
      <c r="C13" s="11"/>
      <c r="D13" s="6"/>
      <c r="E13" s="22"/>
      <c r="F13" s="22"/>
      <c r="G13" s="22"/>
      <c r="H13" s="22"/>
      <c r="I13" s="21"/>
      <c r="J13" s="21"/>
      <c r="K13" s="21"/>
      <c r="L13" s="21"/>
      <c r="M13" s="23"/>
      <c r="N13" s="23"/>
      <c r="O13" s="23"/>
      <c r="P13" s="23"/>
      <c r="Q13" s="6"/>
    </row>
    <row r="14" ht="22" customHeight="1" spans="1:17">
      <c r="A14" s="11"/>
      <c r="B14" s="11"/>
      <c r="C14" s="11"/>
      <c r="D14" s="6"/>
      <c r="E14" s="22"/>
      <c r="F14" s="22"/>
      <c r="G14" s="22"/>
      <c r="H14" s="22"/>
      <c r="I14" s="21"/>
      <c r="J14" s="21"/>
      <c r="K14" s="21"/>
      <c r="L14" s="21"/>
      <c r="M14" s="23"/>
      <c r="N14" s="23"/>
      <c r="O14" s="23"/>
      <c r="P14" s="23"/>
      <c r="Q14" s="6"/>
    </row>
    <row r="15" ht="22" customHeight="1" spans="1:17">
      <c r="A15" s="5"/>
      <c r="B15" s="5"/>
      <c r="C15" s="5"/>
      <c r="D15" s="6"/>
      <c r="E15" s="22"/>
      <c r="F15" s="22"/>
      <c r="G15" s="22"/>
      <c r="H15" s="22"/>
      <c r="I15" s="21"/>
      <c r="J15" s="21"/>
      <c r="K15" s="21"/>
      <c r="L15" s="21"/>
      <c r="M15" s="23"/>
      <c r="N15" s="23"/>
      <c r="O15" s="23"/>
      <c r="P15" s="23"/>
      <c r="Q15" s="6"/>
    </row>
    <row r="16" ht="22" customHeight="1" spans="1:17">
      <c r="A16" s="10" t="s">
        <v>11</v>
      </c>
      <c r="B16" s="10"/>
      <c r="C16" s="10"/>
      <c r="D16" s="6"/>
      <c r="E16" s="22"/>
      <c r="F16" s="22"/>
      <c r="G16" s="22"/>
      <c r="H16" s="22"/>
      <c r="I16" s="21"/>
      <c r="J16" s="21"/>
      <c r="K16" s="21"/>
      <c r="L16" s="21"/>
      <c r="M16" s="23"/>
      <c r="N16" s="23"/>
      <c r="O16" s="23"/>
      <c r="P16" s="23"/>
      <c r="Q16" s="6"/>
    </row>
    <row r="17" ht="22" customHeight="1" spans="1:17">
      <c r="A17" s="10"/>
      <c r="B17" s="10"/>
      <c r="C17" s="10"/>
      <c r="D17" s="6"/>
      <c r="E17" s="22"/>
      <c r="F17" s="22"/>
      <c r="G17" s="22"/>
      <c r="H17" s="22"/>
      <c r="I17" s="21"/>
      <c r="J17" s="21"/>
      <c r="K17" s="21"/>
      <c r="L17" s="21"/>
      <c r="M17" s="23"/>
      <c r="N17" s="23"/>
      <c r="O17" s="23"/>
      <c r="P17" s="23"/>
      <c r="Q17" s="6"/>
    </row>
    <row r="18" ht="22" customHeight="1" spans="1:17">
      <c r="A18" s="5"/>
      <c r="B18" s="5"/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ht="22" customHeight="1" spans="1:17">
      <c r="A19" s="10" t="s">
        <v>12</v>
      </c>
      <c r="B19" s="10"/>
      <c r="C19" s="10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ht="22" customHeight="1" spans="1:17">
      <c r="A20" s="10"/>
      <c r="B20" s="10"/>
      <c r="C20" s="10"/>
      <c r="D20" s="6"/>
      <c r="E20" s="9" t="s">
        <v>20</v>
      </c>
      <c r="F20" s="9" t="s">
        <v>21</v>
      </c>
      <c r="G20" s="6"/>
      <c r="H20" s="9" t="s">
        <v>22</v>
      </c>
      <c r="I20" s="9" t="s">
        <v>23</v>
      </c>
      <c r="J20" s="6"/>
      <c r="K20" s="6"/>
      <c r="L20" s="6"/>
      <c r="M20" s="6"/>
      <c r="N20" s="6"/>
      <c r="O20" s="6"/>
      <c r="P20" s="6"/>
      <c r="Q20" s="6"/>
    </row>
    <row r="21" ht="22" customHeight="1" spans="1:17">
      <c r="A21" s="5"/>
      <c r="B21" s="5"/>
      <c r="C21" s="5"/>
      <c r="D21" s="6"/>
      <c r="E21" s="6" t="s">
        <v>24</v>
      </c>
      <c r="F21" s="16">
        <f>SUMIFS(RAW_DATA!L2:L301,RAW_DATA!E2:E301,E21)</f>
        <v>13681950</v>
      </c>
      <c r="G21" s="6"/>
      <c r="H21" s="6" t="s">
        <v>25</v>
      </c>
      <c r="I21" s="16">
        <f>SUMIFS(RAW_DATA!N2:N301,RAW_DATA!H2:H301,H21)</f>
        <v>5582270</v>
      </c>
      <c r="J21" s="6"/>
      <c r="K21" s="6"/>
      <c r="L21" s="6"/>
      <c r="M21" s="6"/>
      <c r="N21" s="6"/>
      <c r="O21" s="6"/>
      <c r="P21" s="6"/>
      <c r="Q21" s="6"/>
    </row>
    <row r="22" ht="22" customHeight="1" spans="1:17">
      <c r="A22" s="10" t="s">
        <v>14</v>
      </c>
      <c r="B22" s="10"/>
      <c r="C22" s="10"/>
      <c r="D22" s="6"/>
      <c r="E22" s="6" t="s">
        <v>26</v>
      </c>
      <c r="F22" s="16">
        <f>SUMIFS(RAW_DATA!L2:L301,RAW_DATA!E2:E301,E22)</f>
        <v>11153570</v>
      </c>
      <c r="G22" s="6"/>
      <c r="H22" s="6" t="s">
        <v>27</v>
      </c>
      <c r="I22" s="16">
        <f>SUMIFS(RAW_DATA!N2:N301,RAW_DATA!H2:H301,H22)</f>
        <v>3400600</v>
      </c>
      <c r="J22" s="6"/>
      <c r="K22" s="6"/>
      <c r="L22" s="6"/>
      <c r="M22" s="6"/>
      <c r="N22" s="6"/>
      <c r="O22" s="6"/>
      <c r="P22" s="6"/>
      <c r="Q22" s="6"/>
    </row>
    <row r="23" ht="22" customHeight="1" spans="1:17">
      <c r="A23" s="10"/>
      <c r="B23" s="10"/>
      <c r="C23" s="10"/>
      <c r="D23" s="6"/>
      <c r="E23" s="6" t="s">
        <v>28</v>
      </c>
      <c r="F23" s="16">
        <f>SUMIFS(RAW_DATA!L2:L301,RAW_DATA!E2:E301,E23)</f>
        <v>8015020</v>
      </c>
      <c r="G23" s="6"/>
      <c r="H23" s="6" t="s">
        <v>4</v>
      </c>
      <c r="I23" s="16">
        <f>SUMIFS(RAW_DATA!N2:N301,RAW_DATA!H2:H301,H23)</f>
        <v>3472360</v>
      </c>
      <c r="J23" s="6"/>
      <c r="K23" s="6"/>
      <c r="L23" s="6"/>
      <c r="M23" s="6"/>
      <c r="N23" s="6"/>
      <c r="O23" s="6"/>
      <c r="P23" s="6"/>
      <c r="Q23" s="6"/>
    </row>
    <row r="24" ht="22" customHeight="1" spans="1:17">
      <c r="A24" s="5"/>
      <c r="B24" s="5"/>
      <c r="C24" s="5"/>
      <c r="D24" s="6"/>
      <c r="E24" s="6" t="s">
        <v>29</v>
      </c>
      <c r="F24" s="16">
        <f>SUMIFS(RAW_DATA!L2:L301,RAW_DATA!E2:E301,E24)</f>
        <v>10417170</v>
      </c>
      <c r="G24" s="6"/>
      <c r="H24" s="6" t="s">
        <v>30</v>
      </c>
      <c r="I24" s="16">
        <f>SUMIFS(RAW_DATA!N2:N301,RAW_DATA!H2:H301,H24)</f>
        <v>1255660</v>
      </c>
      <c r="J24" s="6"/>
      <c r="K24" s="6"/>
      <c r="L24" s="6"/>
      <c r="M24" s="6"/>
      <c r="N24" s="6"/>
      <c r="O24" s="6"/>
      <c r="P24" s="6"/>
      <c r="Q24" s="6"/>
    </row>
    <row r="25" ht="22" customHeight="1" spans="1:17">
      <c r="A25" s="10" t="s">
        <v>15</v>
      </c>
      <c r="B25" s="10"/>
      <c r="C25" s="10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ht="22" customHeight="1" spans="1:17">
      <c r="A26" s="10"/>
      <c r="B26" s="10"/>
      <c r="C26" s="10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ht="22" customHeight="1" spans="1:17">
      <c r="A27" s="5"/>
      <c r="B27" s="5"/>
      <c r="C27" s="5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ht="22" customHeight="1" spans="1:17">
      <c r="A28" s="5"/>
      <c r="B28" s="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ht="22" customHeight="1" spans="1:17">
      <c r="A29" s="5"/>
      <c r="B29" s="5"/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ht="22" customHeight="1" spans="1:17">
      <c r="A30" s="5"/>
      <c r="B30" s="5"/>
      <c r="C30" s="5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ht="22" customHeight="1" spans="1:17">
      <c r="A31" s="5"/>
      <c r="B31" s="5"/>
      <c r="C31" s="5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ht="22" customHeight="1" spans="1:17">
      <c r="A32" s="5"/>
      <c r="B32" s="5"/>
      <c r="C32" s="5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ht="22" customHeight="1" spans="1:17">
      <c r="A33" s="5"/>
      <c r="B33" s="5"/>
      <c r="C33" s="5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ht="22" customHeight="1" spans="1:17">
      <c r="A34" s="5"/>
      <c r="B34" s="5"/>
      <c r="C34" s="5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ht="22" customHeight="1" spans="1:17">
      <c r="A35" s="5"/>
      <c r="B35" s="5"/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ht="22" customHeight="1" spans="1:17">
      <c r="A36" s="5"/>
      <c r="B36" s="5"/>
      <c r="C36" s="5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ht="22" customHeight="1" spans="1:17">
      <c r="A37" s="5"/>
      <c r="B37" s="5"/>
      <c r="C37" s="5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ht="22" customHeight="1" spans="1:17">
      <c r="A38" s="5"/>
      <c r="B38" s="5"/>
      <c r="C38" s="5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ht="22" customHeight="1" spans="1:17">
      <c r="A39" s="12" t="s">
        <v>17</v>
      </c>
      <c r="B39" s="12"/>
      <c r="C39" s="12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ht="22" customHeight="1" spans="1:17">
      <c r="A40" s="12"/>
      <c r="B40" s="12"/>
      <c r="C40" s="12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ht="22" customHeight="1" spans="1:17">
      <c r="A41" s="12"/>
      <c r="B41" s="12"/>
      <c r="C41" s="1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ht="22" customHeight="1" spans="1:17">
      <c r="A42" s="12"/>
      <c r="B42" s="12"/>
      <c r="C42" s="12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ht="22" customHeight="1" spans="1:17">
      <c r="A43" s="12"/>
      <c r="B43" s="12"/>
      <c r="C43" s="12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ht="22" customHeight="1" spans="1:17">
      <c r="A44" s="5"/>
      <c r="B44" s="5"/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ht="22" customHeight="1" spans="1:17">
      <c r="A45" s="5"/>
      <c r="B45" s="5"/>
      <c r="C45" s="5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ht="22" customHeight="1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ht="22" customHeight="1" spans="1:1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ht="22" customHeight="1" spans="1:17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ht="22" customHeight="1" spans="1:17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ht="22" customHeight="1" spans="1:17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ht="22" customHeight="1" spans="1:17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ht="22" customHeight="1" spans="1:17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ht="22" customHeight="1" spans="1:17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ht="22" customHeight="1" spans="1:17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ht="22" customHeight="1" spans="1:17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ht="22" customHeight="1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ht="22" customHeight="1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ht="22" customHeight="1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ht="22" customHeight="1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ht="22" customHeight="1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</sheetData>
  <mergeCells count="16">
    <mergeCell ref="A2:C5"/>
    <mergeCell ref="A7:C8"/>
    <mergeCell ref="A10:C11"/>
    <mergeCell ref="A13:C14"/>
    <mergeCell ref="A16:C17"/>
    <mergeCell ref="A19:C20"/>
    <mergeCell ref="A22:C23"/>
    <mergeCell ref="A25:C26"/>
    <mergeCell ref="A39:C43"/>
    <mergeCell ref="E2:P3"/>
    <mergeCell ref="E5:H10"/>
    <mergeCell ref="I5:L10"/>
    <mergeCell ref="M5:P10"/>
    <mergeCell ref="E12:H17"/>
    <mergeCell ref="I12:L17"/>
    <mergeCell ref="M12:P17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60"/>
  <sheetViews>
    <sheetView workbookViewId="0">
      <selection activeCell="A1" sqref="A1"/>
    </sheetView>
  </sheetViews>
  <sheetFormatPr defaultColWidth="9" defaultRowHeight="13.8"/>
  <cols>
    <col min="1" max="17" width="11" customWidth="1"/>
  </cols>
  <sheetData>
    <row r="1" ht="22" customHeight="1" spans="1:17">
      <c r="A1" s="5"/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ht="22" customHeight="1" spans="1:17">
      <c r="A2" s="7" t="s">
        <v>0</v>
      </c>
      <c r="B2" s="7"/>
      <c r="C2" s="7"/>
      <c r="D2" s="6"/>
      <c r="E2" s="8" t="s">
        <v>11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6"/>
    </row>
    <row r="3" ht="22" customHeight="1" spans="1:17">
      <c r="A3" s="7"/>
      <c r="B3" s="7"/>
      <c r="C3" s="7"/>
      <c r="D3" s="6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6"/>
    </row>
    <row r="4" ht="22" customHeight="1" spans="1:17">
      <c r="A4" s="7"/>
      <c r="B4" s="7"/>
      <c r="C4" s="7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</row>
    <row r="5" ht="22" customHeight="1" spans="1:17">
      <c r="A5" s="7"/>
      <c r="B5" s="7"/>
      <c r="C5" s="7"/>
      <c r="D5" s="6"/>
      <c r="E5" s="18" t="s">
        <v>31</v>
      </c>
      <c r="F5" s="18" t="s">
        <v>21</v>
      </c>
      <c r="G5" s="18" t="s">
        <v>32</v>
      </c>
      <c r="H5" s="6"/>
      <c r="I5" s="19">
        <f>AVERAGE(F15:F17)*(1+AVERAGE(G15:G17))</f>
        <v>5572856.92444906</v>
      </c>
      <c r="J5" s="19"/>
      <c r="K5" s="19"/>
      <c r="L5" s="19"/>
      <c r="M5" s="19"/>
      <c r="N5" s="19"/>
      <c r="O5" s="19"/>
      <c r="P5" s="19"/>
      <c r="Q5" s="6"/>
    </row>
    <row r="6" ht="22" customHeight="1" spans="1:17">
      <c r="A6" s="5"/>
      <c r="B6" s="5"/>
      <c r="C6" s="5"/>
      <c r="D6" s="6"/>
      <c r="E6" s="6" t="s">
        <v>33</v>
      </c>
      <c r="F6" s="16">
        <f>SUMIFS(RAW_DATA!L2:L301,RAW_DATA!C2:C301,E6)</f>
        <v>4499480</v>
      </c>
      <c r="G6" s="17"/>
      <c r="H6" s="6"/>
      <c r="I6" s="19"/>
      <c r="J6" s="19"/>
      <c r="K6" s="19"/>
      <c r="L6" s="19"/>
      <c r="M6" s="19"/>
      <c r="N6" s="19"/>
      <c r="O6" s="19"/>
      <c r="P6" s="19"/>
      <c r="Q6" s="6"/>
    </row>
    <row r="7" ht="22" customHeight="1" spans="1:17">
      <c r="A7" s="10" t="s">
        <v>4</v>
      </c>
      <c r="B7" s="10"/>
      <c r="C7" s="10"/>
      <c r="D7" s="6"/>
      <c r="E7" s="6" t="s">
        <v>34</v>
      </c>
      <c r="F7" s="16">
        <f>SUMIFS(RAW_DATA!L2:L301,RAW_DATA!C2:C301,E7)</f>
        <v>3195070</v>
      </c>
      <c r="G7" s="17">
        <f t="shared" ref="G7:G17" si="0">IFERROR((F7-F6)/F6,0)</f>
        <v>-0.289902388720474</v>
      </c>
      <c r="H7" s="6"/>
      <c r="I7" s="19"/>
      <c r="J7" s="19"/>
      <c r="K7" s="19"/>
      <c r="L7" s="19"/>
      <c r="M7" s="19"/>
      <c r="N7" s="19"/>
      <c r="O7" s="19"/>
      <c r="P7" s="19"/>
      <c r="Q7" s="6"/>
    </row>
    <row r="8" ht="22" customHeight="1" spans="1:17">
      <c r="A8" s="10"/>
      <c r="B8" s="10"/>
      <c r="C8" s="10"/>
      <c r="D8" s="6"/>
      <c r="E8" s="6" t="s">
        <v>35</v>
      </c>
      <c r="F8" s="16">
        <f>SUMIFS(RAW_DATA!L2:L301,RAW_DATA!C2:C301,E8)</f>
        <v>4326580</v>
      </c>
      <c r="G8" s="17">
        <f t="shared" si="0"/>
        <v>0.354142475751705</v>
      </c>
      <c r="H8" s="6"/>
      <c r="I8" s="19"/>
      <c r="J8" s="19"/>
      <c r="K8" s="19"/>
      <c r="L8" s="19"/>
      <c r="M8" s="19"/>
      <c r="N8" s="19"/>
      <c r="O8" s="19"/>
      <c r="P8" s="19"/>
      <c r="Q8" s="6"/>
    </row>
    <row r="9" ht="22" customHeight="1" spans="1:17">
      <c r="A9" s="5"/>
      <c r="B9" s="5"/>
      <c r="C9" s="5"/>
      <c r="D9" s="6"/>
      <c r="E9" s="6" t="s">
        <v>36</v>
      </c>
      <c r="F9" s="16">
        <f>SUMIFS(RAW_DATA!L2:L301,RAW_DATA!C2:C301,E9)</f>
        <v>4079310</v>
      </c>
      <c r="G9" s="17">
        <f t="shared" si="0"/>
        <v>-0.0571513759135391</v>
      </c>
      <c r="H9" s="6"/>
      <c r="I9" s="6"/>
      <c r="J9" s="6"/>
      <c r="K9" s="6"/>
      <c r="L9" s="6"/>
      <c r="M9" s="6"/>
      <c r="N9" s="6"/>
      <c r="O9" s="6"/>
      <c r="P9" s="6"/>
      <c r="Q9" s="6"/>
    </row>
    <row r="10" ht="22" customHeight="1" spans="1:17">
      <c r="A10" s="10" t="s">
        <v>5</v>
      </c>
      <c r="B10" s="10"/>
      <c r="C10" s="10"/>
      <c r="D10" s="6"/>
      <c r="E10" s="6" t="s">
        <v>37</v>
      </c>
      <c r="F10" s="16">
        <f>SUMIFS(RAW_DATA!L2:L301,RAW_DATA!C2:C301,E10)</f>
        <v>3468330</v>
      </c>
      <c r="G10" s="17">
        <f t="shared" si="0"/>
        <v>-0.149775329651338</v>
      </c>
      <c r="H10" s="6"/>
      <c r="I10" s="6"/>
      <c r="J10" s="6"/>
      <c r="K10" s="6"/>
      <c r="L10" s="6"/>
      <c r="M10" s="6"/>
      <c r="N10" s="6"/>
      <c r="O10" s="6"/>
      <c r="P10" s="6"/>
      <c r="Q10" s="6"/>
    </row>
    <row r="11" ht="22" customHeight="1" spans="1:17">
      <c r="A11" s="10"/>
      <c r="B11" s="10"/>
      <c r="C11" s="10"/>
      <c r="D11" s="6"/>
      <c r="E11" s="6" t="s">
        <v>38</v>
      </c>
      <c r="F11" s="16">
        <f>SUMIFS(RAW_DATA!L2:L301,RAW_DATA!C2:C301,E11)</f>
        <v>3595620</v>
      </c>
      <c r="G11" s="17">
        <f t="shared" si="0"/>
        <v>0.036700659971802</v>
      </c>
      <c r="H11" s="6"/>
      <c r="I11" s="6"/>
      <c r="J11" s="6"/>
      <c r="K11" s="6"/>
      <c r="L11" s="6"/>
      <c r="M11" s="6"/>
      <c r="N11" s="6"/>
      <c r="O11" s="6"/>
      <c r="P11" s="6"/>
      <c r="Q11" s="6"/>
    </row>
    <row r="12" ht="22" customHeight="1" spans="1:17">
      <c r="A12" s="5"/>
      <c r="B12" s="5"/>
      <c r="C12" s="5"/>
      <c r="D12" s="6"/>
      <c r="E12" s="6" t="s">
        <v>39</v>
      </c>
      <c r="F12" s="16">
        <f>SUMIFS(RAW_DATA!L2:L301,RAW_DATA!C2:C301,E12)</f>
        <v>3875290</v>
      </c>
      <c r="G12" s="17">
        <f t="shared" si="0"/>
        <v>0.0777807443500704</v>
      </c>
      <c r="H12" s="6"/>
      <c r="I12" s="6"/>
      <c r="J12" s="6"/>
      <c r="K12" s="6"/>
      <c r="L12" s="6"/>
      <c r="M12" s="6"/>
      <c r="N12" s="6"/>
      <c r="O12" s="6"/>
      <c r="P12" s="6"/>
      <c r="Q12" s="6"/>
    </row>
    <row r="13" ht="22" customHeight="1" spans="1:17">
      <c r="A13" s="10" t="s">
        <v>10</v>
      </c>
      <c r="B13" s="10"/>
      <c r="C13" s="10"/>
      <c r="D13" s="6"/>
      <c r="E13" s="6" t="s">
        <v>40</v>
      </c>
      <c r="F13" s="16">
        <f>SUMIFS(RAW_DATA!L2:L301,RAW_DATA!C2:C301,E13)</f>
        <v>3234200</v>
      </c>
      <c r="G13" s="17">
        <f t="shared" si="0"/>
        <v>-0.165430200062447</v>
      </c>
      <c r="H13" s="6"/>
      <c r="I13" s="6"/>
      <c r="J13" s="6"/>
      <c r="K13" s="6"/>
      <c r="L13" s="6"/>
      <c r="M13" s="6"/>
      <c r="N13" s="6"/>
      <c r="O13" s="6"/>
      <c r="P13" s="6"/>
      <c r="Q13" s="6"/>
    </row>
    <row r="14" ht="22" customHeight="1" spans="1:17">
      <c r="A14" s="10"/>
      <c r="B14" s="10"/>
      <c r="C14" s="10"/>
      <c r="D14" s="6"/>
      <c r="E14" s="6" t="s">
        <v>41</v>
      </c>
      <c r="F14" s="16">
        <f>SUMIFS(RAW_DATA!L2:L301,RAW_DATA!C2:C301,E14)</f>
        <v>2047940</v>
      </c>
      <c r="G14" s="17">
        <f t="shared" si="0"/>
        <v>-0.366786222249706</v>
      </c>
      <c r="H14" s="6"/>
      <c r="I14" s="6"/>
      <c r="J14" s="6"/>
      <c r="K14" s="6"/>
      <c r="L14" s="6"/>
      <c r="M14" s="6"/>
      <c r="N14" s="6"/>
      <c r="O14" s="6"/>
      <c r="P14" s="6"/>
      <c r="Q14" s="6"/>
    </row>
    <row r="15" ht="22" customHeight="1" spans="1:17">
      <c r="A15" s="5"/>
      <c r="B15" s="5"/>
      <c r="C15" s="5"/>
      <c r="D15" s="6"/>
      <c r="E15" s="6" t="s">
        <v>42</v>
      </c>
      <c r="F15" s="16">
        <f>SUMIFS(RAW_DATA!L2:L301,RAW_DATA!C2:C301,E15)</f>
        <v>4249500</v>
      </c>
      <c r="G15" s="17">
        <f t="shared" si="0"/>
        <v>1.07501196324111</v>
      </c>
      <c r="H15" s="6"/>
      <c r="I15" s="6"/>
      <c r="J15" s="6"/>
      <c r="K15" s="6"/>
      <c r="L15" s="6"/>
      <c r="M15" s="6"/>
      <c r="N15" s="6"/>
      <c r="O15" s="6"/>
      <c r="P15" s="6"/>
      <c r="Q15" s="6"/>
    </row>
    <row r="16" ht="22" customHeight="1" spans="1:17">
      <c r="A16" s="11" t="s">
        <v>11</v>
      </c>
      <c r="B16" s="11"/>
      <c r="C16" s="11"/>
      <c r="D16" s="6"/>
      <c r="E16" s="6" t="s">
        <v>43</v>
      </c>
      <c r="F16" s="16">
        <f>SUMIFS(RAW_DATA!L2:L301,RAW_DATA!C2:C301,E16)</f>
        <v>2248630</v>
      </c>
      <c r="G16" s="17">
        <f t="shared" si="0"/>
        <v>-0.470848335098247</v>
      </c>
      <c r="H16" s="6"/>
      <c r="I16" s="6"/>
      <c r="J16" s="6"/>
      <c r="K16" s="6"/>
      <c r="L16" s="6"/>
      <c r="M16" s="6"/>
      <c r="N16" s="6"/>
      <c r="O16" s="6"/>
      <c r="P16" s="6"/>
      <c r="Q16" s="6"/>
    </row>
    <row r="17" ht="22" customHeight="1" spans="1:17">
      <c r="A17" s="11"/>
      <c r="B17" s="11"/>
      <c r="C17" s="11"/>
      <c r="D17" s="6"/>
      <c r="E17" s="6" t="s">
        <v>44</v>
      </c>
      <c r="F17" s="16">
        <f>SUMIFS(RAW_DATA!L2:L301,RAW_DATA!C2:C301,E17)</f>
        <v>4447760</v>
      </c>
      <c r="G17" s="17">
        <f t="shared" si="0"/>
        <v>0.97798659628307</v>
      </c>
      <c r="H17" s="6"/>
      <c r="I17" s="6"/>
      <c r="J17" s="6"/>
      <c r="K17" s="6"/>
      <c r="L17" s="6"/>
      <c r="M17" s="6"/>
      <c r="N17" s="6"/>
      <c r="O17" s="6"/>
      <c r="P17" s="6"/>
      <c r="Q17" s="6"/>
    </row>
    <row r="18" ht="22" customHeight="1" spans="1:17">
      <c r="A18" s="5"/>
      <c r="B18" s="5"/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ht="22" customHeight="1" spans="1:17">
      <c r="A19" s="10" t="s">
        <v>12</v>
      </c>
      <c r="B19" s="10"/>
      <c r="C19" s="10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ht="22" customHeight="1" spans="1:17">
      <c r="A20" s="10"/>
      <c r="B20" s="10"/>
      <c r="C20" s="10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</row>
    <row r="21" ht="22" customHeight="1" spans="1:17">
      <c r="A21" s="5"/>
      <c r="B21" s="5"/>
      <c r="C21" s="5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ht="22" customHeight="1" spans="1:17">
      <c r="A22" s="10" t="s">
        <v>14</v>
      </c>
      <c r="B22" s="10"/>
      <c r="C22" s="10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ht="22" customHeight="1" spans="1:17">
      <c r="A23" s="10"/>
      <c r="B23" s="10"/>
      <c r="C23" s="10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ht="22" customHeight="1" spans="1:17">
      <c r="A24" s="5"/>
      <c r="B24" s="5"/>
      <c r="C24" s="5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</row>
    <row r="25" ht="22" customHeight="1" spans="1:17">
      <c r="A25" s="10" t="s">
        <v>15</v>
      </c>
      <c r="B25" s="10"/>
      <c r="C25" s="10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ht="22" customHeight="1" spans="1:17">
      <c r="A26" s="10"/>
      <c r="B26" s="10"/>
      <c r="C26" s="10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ht="22" customHeight="1" spans="1:17">
      <c r="A27" s="5"/>
      <c r="B27" s="5"/>
      <c r="C27" s="5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ht="22" customHeight="1" spans="1:17">
      <c r="A28" s="5"/>
      <c r="B28" s="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ht="22" customHeight="1" spans="1:17">
      <c r="A29" s="5"/>
      <c r="B29" s="5"/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ht="22" customHeight="1" spans="1:17">
      <c r="A30" s="5"/>
      <c r="B30" s="5"/>
      <c r="C30" s="5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ht="22" customHeight="1" spans="1:17">
      <c r="A31" s="5"/>
      <c r="B31" s="5"/>
      <c r="C31" s="5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ht="22" customHeight="1" spans="1:17">
      <c r="A32" s="5"/>
      <c r="B32" s="5"/>
      <c r="C32" s="5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ht="22" customHeight="1" spans="1:17">
      <c r="A33" s="5"/>
      <c r="B33" s="5"/>
      <c r="C33" s="5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ht="22" customHeight="1" spans="1:17">
      <c r="A34" s="5"/>
      <c r="B34" s="5"/>
      <c r="C34" s="5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ht="22" customHeight="1" spans="1:17">
      <c r="A35" s="5"/>
      <c r="B35" s="5"/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ht="22" customHeight="1" spans="1:17">
      <c r="A36" s="5"/>
      <c r="B36" s="5"/>
      <c r="C36" s="5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ht="22" customHeight="1" spans="1:17">
      <c r="A37" s="5"/>
      <c r="B37" s="5"/>
      <c r="C37" s="5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ht="22" customHeight="1" spans="1:17">
      <c r="A38" s="5"/>
      <c r="B38" s="5"/>
      <c r="C38" s="5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ht="22" customHeight="1" spans="1:17">
      <c r="A39" s="12" t="s">
        <v>17</v>
      </c>
      <c r="B39" s="12"/>
      <c r="C39" s="12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ht="22" customHeight="1" spans="1:17">
      <c r="A40" s="12"/>
      <c r="B40" s="12"/>
      <c r="C40" s="12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ht="22" customHeight="1" spans="1:17">
      <c r="A41" s="12"/>
      <c r="B41" s="12"/>
      <c r="C41" s="1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ht="22" customHeight="1" spans="1:17">
      <c r="A42" s="12"/>
      <c r="B42" s="12"/>
      <c r="C42" s="12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ht="22" customHeight="1" spans="1:17">
      <c r="A43" s="12"/>
      <c r="B43" s="12"/>
      <c r="C43" s="12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ht="22" customHeight="1" spans="1:17">
      <c r="A44" s="5"/>
      <c r="B44" s="5"/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ht="22" customHeight="1" spans="1:17">
      <c r="A45" s="5"/>
      <c r="B45" s="5"/>
      <c r="C45" s="5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ht="22" customHeight="1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ht="22" customHeight="1" spans="1:1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ht="22" customHeight="1" spans="1:17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ht="22" customHeight="1" spans="1:17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ht="22" customHeight="1" spans="1:17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ht="22" customHeight="1" spans="1:17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ht="22" customHeight="1" spans="1:17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ht="22" customHeight="1" spans="1:17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ht="22" customHeight="1" spans="1:17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ht="22" customHeight="1" spans="1:17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ht="22" customHeight="1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ht="22" customHeight="1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ht="22" customHeight="1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ht="22" customHeight="1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ht="22" customHeight="1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</sheetData>
  <mergeCells count="11">
    <mergeCell ref="A2:C5"/>
    <mergeCell ref="A7:C8"/>
    <mergeCell ref="A10:C11"/>
    <mergeCell ref="A13:C14"/>
    <mergeCell ref="A16:C17"/>
    <mergeCell ref="A19:C20"/>
    <mergeCell ref="A22:C23"/>
    <mergeCell ref="A25:C26"/>
    <mergeCell ref="A39:C43"/>
    <mergeCell ref="E2:P3"/>
    <mergeCell ref="I5:P8"/>
  </mergeCells>
  <conditionalFormatting sqref="G6:G17">
    <cfRule type="colorScale" priority="1">
      <colorScale>
        <cfvo type="min"/>
        <cfvo type="percentile" val="50"/>
        <cfvo type="max"/>
        <color rgb="FF7F1D1D"/>
        <color rgb="FFB45309"/>
        <color rgb="FF166534"/>
      </colorScale>
    </cfRule>
  </conditionalFormatting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60"/>
  <sheetViews>
    <sheetView workbookViewId="0">
      <selection activeCell="A1" sqref="A1"/>
    </sheetView>
  </sheetViews>
  <sheetFormatPr defaultColWidth="9" defaultRowHeight="13.8"/>
  <cols>
    <col min="1" max="17" width="11" customWidth="1"/>
  </cols>
  <sheetData>
    <row r="1" ht="22" customHeight="1" spans="1:17">
      <c r="A1" s="5"/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ht="22" customHeight="1" spans="1:17">
      <c r="A2" s="7" t="s">
        <v>0</v>
      </c>
      <c r="B2" s="7"/>
      <c r="C2" s="7"/>
      <c r="D2" s="6"/>
      <c r="E2" s="8" t="s">
        <v>45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6"/>
    </row>
    <row r="3" ht="22" customHeight="1" spans="1:17">
      <c r="A3" s="7"/>
      <c r="B3" s="7"/>
      <c r="C3" s="7"/>
      <c r="D3" s="6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6"/>
    </row>
    <row r="4" ht="22" customHeight="1" spans="1:17">
      <c r="A4" s="7"/>
      <c r="B4" s="7"/>
      <c r="C4" s="7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</row>
    <row r="5" ht="22" customHeight="1" spans="1:17">
      <c r="A5" s="7"/>
      <c r="B5" s="7"/>
      <c r="C5" s="7"/>
      <c r="D5" s="6"/>
      <c r="E5" s="9" t="s">
        <v>46</v>
      </c>
      <c r="F5" s="9" t="s">
        <v>47</v>
      </c>
      <c r="G5" s="6"/>
      <c r="H5" s="15" t="s">
        <v>48</v>
      </c>
      <c r="I5" s="15"/>
      <c r="J5" s="15"/>
      <c r="K5" s="15"/>
      <c r="L5" s="15"/>
      <c r="M5" s="15"/>
      <c r="N5" s="15"/>
      <c r="O5" s="15"/>
      <c r="P5" s="15"/>
      <c r="Q5" s="6"/>
    </row>
    <row r="6" ht="22" customHeight="1" spans="1:17">
      <c r="A6" s="5"/>
      <c r="B6" s="5"/>
      <c r="C6" s="5"/>
      <c r="D6" s="6"/>
      <c r="E6" s="6" t="s">
        <v>49</v>
      </c>
      <c r="F6" s="16">
        <f>SUM(RAW_DATA!L2:L301)</f>
        <v>43267710</v>
      </c>
      <c r="G6" s="6"/>
      <c r="H6" s="15"/>
      <c r="I6" s="15"/>
      <c r="J6" s="15"/>
      <c r="K6" s="15"/>
      <c r="L6" s="15"/>
      <c r="M6" s="15"/>
      <c r="N6" s="15"/>
      <c r="O6" s="15"/>
      <c r="P6" s="15"/>
      <c r="Q6" s="6"/>
    </row>
    <row r="7" ht="22" customHeight="1" spans="1:17">
      <c r="A7" s="10" t="s">
        <v>4</v>
      </c>
      <c r="B7" s="10"/>
      <c r="C7" s="10"/>
      <c r="D7" s="6"/>
      <c r="E7" s="6" t="s">
        <v>50</v>
      </c>
      <c r="F7" s="16">
        <f>SUM(RAW_DATA!N2:N301)</f>
        <v>13710890</v>
      </c>
      <c r="G7" s="6"/>
      <c r="H7" s="15"/>
      <c r="I7" s="15"/>
      <c r="J7" s="15"/>
      <c r="K7" s="15"/>
      <c r="L7" s="15"/>
      <c r="M7" s="15"/>
      <c r="N7" s="15"/>
      <c r="O7" s="15"/>
      <c r="P7" s="15"/>
      <c r="Q7" s="6"/>
    </row>
    <row r="8" ht="22" customHeight="1" spans="1:17">
      <c r="A8" s="10"/>
      <c r="B8" s="10"/>
      <c r="C8" s="10"/>
      <c r="D8" s="6"/>
      <c r="E8" s="6" t="s">
        <v>51</v>
      </c>
      <c r="F8" s="17">
        <f>SUM(RAW_DATA!N2:N301)/SUM(RAW_DATA!L2:L301)</f>
        <v>0.316885039675083</v>
      </c>
      <c r="G8" s="6"/>
      <c r="H8" s="15"/>
      <c r="I8" s="15"/>
      <c r="J8" s="15"/>
      <c r="K8" s="15"/>
      <c r="L8" s="15"/>
      <c r="M8" s="15"/>
      <c r="N8" s="15"/>
      <c r="O8" s="15"/>
      <c r="P8" s="15"/>
      <c r="Q8" s="6"/>
    </row>
    <row r="9" ht="22" customHeight="1" spans="1:17">
      <c r="A9" s="5"/>
      <c r="B9" s="5"/>
      <c r="C9" s="5"/>
      <c r="D9" s="6"/>
      <c r="E9" s="6" t="s">
        <v>52</v>
      </c>
      <c r="F9" s="17">
        <f>SUM(RAW_DATA!L2:L301)/SUM(RAW_DATA!R2:R301)</f>
        <v>0.952246712517194</v>
      </c>
      <c r="G9" s="6"/>
      <c r="H9" s="15"/>
      <c r="I9" s="15"/>
      <c r="J9" s="15"/>
      <c r="K9" s="15"/>
      <c r="L9" s="15"/>
      <c r="M9" s="15"/>
      <c r="N9" s="15"/>
      <c r="O9" s="15"/>
      <c r="P9" s="15"/>
      <c r="Q9" s="6"/>
    </row>
    <row r="10" ht="22" customHeight="1" spans="1:17">
      <c r="A10" s="10" t="s">
        <v>5</v>
      </c>
      <c r="B10" s="10"/>
      <c r="C10" s="10"/>
      <c r="D10" s="6"/>
      <c r="E10" s="6" t="s">
        <v>53</v>
      </c>
      <c r="F10" s="16">
        <f>SUM(RAW_DATA!L2:L301)/COUNTA(RAW_DATA!A2:A301)</f>
        <v>144225.7</v>
      </c>
      <c r="G10" s="6"/>
      <c r="H10" s="15"/>
      <c r="I10" s="15"/>
      <c r="J10" s="15"/>
      <c r="K10" s="15"/>
      <c r="L10" s="15"/>
      <c r="M10" s="15"/>
      <c r="N10" s="15"/>
      <c r="O10" s="15"/>
      <c r="P10" s="15"/>
      <c r="Q10" s="6"/>
    </row>
    <row r="11" ht="22" customHeight="1" spans="1:17">
      <c r="A11" s="10"/>
      <c r="B11" s="10"/>
      <c r="C11" s="10"/>
      <c r="D11" s="6"/>
      <c r="E11" s="6" t="s">
        <v>54</v>
      </c>
      <c r="F11" s="16">
        <f>COUNTIFS(RAW_DATA!U2:U301,"Completed")</f>
        <v>272</v>
      </c>
      <c r="G11" s="6"/>
      <c r="H11" s="15"/>
      <c r="I11" s="15"/>
      <c r="J11" s="15"/>
      <c r="K11" s="15"/>
      <c r="L11" s="15"/>
      <c r="M11" s="15"/>
      <c r="N11" s="15"/>
      <c r="O11" s="15"/>
      <c r="P11" s="15"/>
      <c r="Q11" s="6"/>
    </row>
    <row r="12" ht="22" customHeight="1" spans="1:17">
      <c r="A12" s="5"/>
      <c r="B12" s="5"/>
      <c r="C12" s="5"/>
      <c r="D12" s="6"/>
      <c r="E12" s="6" t="s">
        <v>11</v>
      </c>
      <c r="F12" s="16">
        <f>Forecast!I5</f>
        <v>5572856.92444906</v>
      </c>
      <c r="G12" s="6"/>
      <c r="H12" s="15"/>
      <c r="I12" s="15"/>
      <c r="J12" s="15"/>
      <c r="K12" s="15"/>
      <c r="L12" s="15"/>
      <c r="M12" s="15"/>
      <c r="N12" s="15"/>
      <c r="O12" s="15"/>
      <c r="P12" s="15"/>
      <c r="Q12" s="6"/>
    </row>
    <row r="13" ht="22" customHeight="1" spans="1:17">
      <c r="A13" s="10" t="s">
        <v>10</v>
      </c>
      <c r="B13" s="10"/>
      <c r="C13" s="10"/>
      <c r="D13" s="6"/>
      <c r="E13" s="6"/>
      <c r="F13" s="6"/>
      <c r="G13" s="6"/>
      <c r="H13" s="15"/>
      <c r="I13" s="15"/>
      <c r="J13" s="15"/>
      <c r="K13" s="15"/>
      <c r="L13" s="15"/>
      <c r="M13" s="15"/>
      <c r="N13" s="15"/>
      <c r="O13" s="15"/>
      <c r="P13" s="15"/>
      <c r="Q13" s="6"/>
    </row>
    <row r="14" ht="22" customHeight="1" spans="1:17">
      <c r="A14" s="10"/>
      <c r="B14" s="10"/>
      <c r="C14" s="10"/>
      <c r="D14" s="6"/>
      <c r="E14" s="6"/>
      <c r="F14" s="6"/>
      <c r="G14" s="6"/>
      <c r="H14" s="15"/>
      <c r="I14" s="15"/>
      <c r="J14" s="15"/>
      <c r="K14" s="15"/>
      <c r="L14" s="15"/>
      <c r="M14" s="15"/>
      <c r="N14" s="15"/>
      <c r="O14" s="15"/>
      <c r="P14" s="15"/>
      <c r="Q14" s="6"/>
    </row>
    <row r="15" ht="22" customHeight="1" spans="1:17">
      <c r="A15" s="5"/>
      <c r="B15" s="5"/>
      <c r="C15" s="5"/>
      <c r="D15" s="6"/>
      <c r="E15" s="6"/>
      <c r="F15" s="6"/>
      <c r="G15" s="6"/>
      <c r="H15" s="15"/>
      <c r="I15" s="15"/>
      <c r="J15" s="15"/>
      <c r="K15" s="15"/>
      <c r="L15" s="15"/>
      <c r="M15" s="15"/>
      <c r="N15" s="15"/>
      <c r="O15" s="15"/>
      <c r="P15" s="15"/>
      <c r="Q15" s="6"/>
    </row>
    <row r="16" ht="22" customHeight="1" spans="1:17">
      <c r="A16" s="10" t="s">
        <v>11</v>
      </c>
      <c r="B16" s="10"/>
      <c r="C16" s="10"/>
      <c r="D16" s="6"/>
      <c r="E16" s="6"/>
      <c r="F16" s="6"/>
      <c r="G16" s="6"/>
      <c r="H16" s="15"/>
      <c r="I16" s="15"/>
      <c r="J16" s="15"/>
      <c r="K16" s="15"/>
      <c r="L16" s="15"/>
      <c r="M16" s="15"/>
      <c r="N16" s="15"/>
      <c r="O16" s="15"/>
      <c r="P16" s="15"/>
      <c r="Q16" s="6"/>
    </row>
    <row r="17" ht="22" customHeight="1" spans="1:17">
      <c r="A17" s="10"/>
      <c r="B17" s="10"/>
      <c r="C17" s="10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ht="22" customHeight="1" spans="1:17">
      <c r="A18" s="5"/>
      <c r="B18" s="5"/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ht="22" customHeight="1" spans="1:17">
      <c r="A19" s="11" t="s">
        <v>12</v>
      </c>
      <c r="B19" s="11"/>
      <c r="C19" s="11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ht="22" customHeight="1" spans="1:17">
      <c r="A20" s="11"/>
      <c r="B20" s="11"/>
      <c r="C20" s="11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</row>
    <row r="21" ht="22" customHeight="1" spans="1:17">
      <c r="A21" s="5"/>
      <c r="B21" s="5"/>
      <c r="C21" s="5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ht="22" customHeight="1" spans="1:17">
      <c r="A22" s="10" t="s">
        <v>14</v>
      </c>
      <c r="B22" s="10"/>
      <c r="C22" s="10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ht="22" customHeight="1" spans="1:17">
      <c r="A23" s="10"/>
      <c r="B23" s="10"/>
      <c r="C23" s="10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ht="22" customHeight="1" spans="1:17">
      <c r="A24" s="5"/>
      <c r="B24" s="5"/>
      <c r="C24" s="5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</row>
    <row r="25" ht="22" customHeight="1" spans="1:17">
      <c r="A25" s="10" t="s">
        <v>15</v>
      </c>
      <c r="B25" s="10"/>
      <c r="C25" s="10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ht="22" customHeight="1" spans="1:17">
      <c r="A26" s="10"/>
      <c r="B26" s="10"/>
      <c r="C26" s="10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ht="22" customHeight="1" spans="1:17">
      <c r="A27" s="5"/>
      <c r="B27" s="5"/>
      <c r="C27" s="5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ht="22" customHeight="1" spans="1:17">
      <c r="A28" s="5"/>
      <c r="B28" s="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ht="22" customHeight="1" spans="1:17">
      <c r="A29" s="5"/>
      <c r="B29" s="5"/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ht="22" customHeight="1" spans="1:17">
      <c r="A30" s="5"/>
      <c r="B30" s="5"/>
      <c r="C30" s="5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ht="22" customHeight="1" spans="1:17">
      <c r="A31" s="5"/>
      <c r="B31" s="5"/>
      <c r="C31" s="5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ht="22" customHeight="1" spans="1:17">
      <c r="A32" s="5"/>
      <c r="B32" s="5"/>
      <c r="C32" s="5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ht="22" customHeight="1" spans="1:17">
      <c r="A33" s="5"/>
      <c r="B33" s="5"/>
      <c r="C33" s="5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ht="22" customHeight="1" spans="1:17">
      <c r="A34" s="5"/>
      <c r="B34" s="5"/>
      <c r="C34" s="5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ht="22" customHeight="1" spans="1:17">
      <c r="A35" s="5"/>
      <c r="B35" s="5"/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ht="22" customHeight="1" spans="1:17">
      <c r="A36" s="5"/>
      <c r="B36" s="5"/>
      <c r="C36" s="5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ht="22" customHeight="1" spans="1:17">
      <c r="A37" s="5"/>
      <c r="B37" s="5"/>
      <c r="C37" s="5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ht="22" customHeight="1" spans="1:17">
      <c r="A38" s="5"/>
      <c r="B38" s="5"/>
      <c r="C38" s="5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ht="22" customHeight="1" spans="1:17">
      <c r="A39" s="12" t="s">
        <v>17</v>
      </c>
      <c r="B39" s="12"/>
      <c r="C39" s="12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ht="22" customHeight="1" spans="1:17">
      <c r="A40" s="12"/>
      <c r="B40" s="12"/>
      <c r="C40" s="12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ht="22" customHeight="1" spans="1:17">
      <c r="A41" s="12"/>
      <c r="B41" s="12"/>
      <c r="C41" s="1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ht="22" customHeight="1" spans="1:17">
      <c r="A42" s="12"/>
      <c r="B42" s="12"/>
      <c r="C42" s="12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ht="22" customHeight="1" spans="1:17">
      <c r="A43" s="12"/>
      <c r="B43" s="12"/>
      <c r="C43" s="12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ht="22" customHeight="1" spans="1:17">
      <c r="A44" s="5"/>
      <c r="B44" s="5"/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ht="22" customHeight="1" spans="1:17">
      <c r="A45" s="5"/>
      <c r="B45" s="5"/>
      <c r="C45" s="5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ht="22" customHeight="1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ht="22" customHeight="1" spans="1:1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ht="22" customHeight="1" spans="1:17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ht="22" customHeight="1" spans="1:17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ht="22" customHeight="1" spans="1:17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ht="22" customHeight="1" spans="1:17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ht="22" customHeight="1" spans="1:17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ht="22" customHeight="1" spans="1:17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ht="22" customHeight="1" spans="1:17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ht="22" customHeight="1" spans="1:17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ht="22" customHeight="1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ht="22" customHeight="1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ht="22" customHeight="1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ht="22" customHeight="1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ht="22" customHeight="1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</sheetData>
  <mergeCells count="11">
    <mergeCell ref="A2:C5"/>
    <mergeCell ref="A7:C8"/>
    <mergeCell ref="A10:C11"/>
    <mergeCell ref="A13:C14"/>
    <mergeCell ref="A16:C17"/>
    <mergeCell ref="A19:C20"/>
    <mergeCell ref="A22:C23"/>
    <mergeCell ref="A25:C26"/>
    <mergeCell ref="A39:C43"/>
    <mergeCell ref="E2:P3"/>
    <mergeCell ref="H5:P16"/>
  </mergeCell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60"/>
  <sheetViews>
    <sheetView workbookViewId="0">
      <selection activeCell="A1" sqref="A1"/>
    </sheetView>
  </sheetViews>
  <sheetFormatPr defaultColWidth="9" defaultRowHeight="13.8"/>
  <cols>
    <col min="1" max="4" width="11" customWidth="1"/>
    <col min="5" max="6" width="24" customWidth="1"/>
    <col min="7" max="7" width="42" customWidth="1"/>
    <col min="8" max="8" width="24" customWidth="1"/>
    <col min="9" max="17" width="11" customWidth="1"/>
  </cols>
  <sheetData>
    <row r="1" ht="22" customHeight="1" spans="1:17">
      <c r="A1" s="5"/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ht="22" customHeight="1" spans="1:17">
      <c r="A2" s="7" t="s">
        <v>0</v>
      </c>
      <c r="B2" s="7"/>
      <c r="C2" s="7"/>
      <c r="D2" s="6"/>
      <c r="E2" s="8" t="s">
        <v>14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6"/>
    </row>
    <row r="3" ht="22" customHeight="1" spans="1:17">
      <c r="A3" s="7"/>
      <c r="B3" s="7"/>
      <c r="C3" s="7"/>
      <c r="D3" s="6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6"/>
    </row>
    <row r="4" ht="22" customHeight="1" spans="1:17">
      <c r="A4" s="7"/>
      <c r="B4" s="7"/>
      <c r="C4" s="7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</row>
    <row r="5" ht="22" customHeight="1" spans="1:17">
      <c r="A5" s="7"/>
      <c r="B5" s="7"/>
      <c r="C5" s="7"/>
      <c r="D5" s="6"/>
      <c r="E5" s="13" t="s">
        <v>55</v>
      </c>
      <c r="F5" s="13" t="s">
        <v>56</v>
      </c>
      <c r="G5" s="13" t="s">
        <v>57</v>
      </c>
      <c r="H5" s="13" t="s">
        <v>58</v>
      </c>
      <c r="I5" s="6"/>
      <c r="J5" s="6"/>
      <c r="K5" s="6"/>
      <c r="L5" s="6"/>
      <c r="M5" s="6"/>
      <c r="N5" s="6"/>
      <c r="O5" s="6"/>
      <c r="P5" s="6"/>
      <c r="Q5" s="6"/>
    </row>
    <row r="6" ht="22" customHeight="1" spans="1:17">
      <c r="A6" s="5"/>
      <c r="B6" s="5"/>
      <c r="C6" s="5"/>
      <c r="D6" s="6"/>
      <c r="E6" s="14" t="s">
        <v>59</v>
      </c>
      <c r="F6" s="14" t="s">
        <v>60</v>
      </c>
      <c r="G6" s="14" t="s">
        <v>61</v>
      </c>
      <c r="H6" s="14" t="s">
        <v>62</v>
      </c>
      <c r="I6" s="6"/>
      <c r="J6" s="6"/>
      <c r="K6" s="6"/>
      <c r="L6" s="6"/>
      <c r="M6" s="6"/>
      <c r="N6" s="6"/>
      <c r="O6" s="6"/>
      <c r="P6" s="6"/>
      <c r="Q6" s="6"/>
    </row>
    <row r="7" ht="22" customHeight="1" spans="1:17">
      <c r="A7" s="10" t="s">
        <v>4</v>
      </c>
      <c r="B7" s="10"/>
      <c r="C7" s="10"/>
      <c r="D7" s="6"/>
      <c r="E7" s="14" t="s">
        <v>63</v>
      </c>
      <c r="F7" s="14" t="s">
        <v>60</v>
      </c>
      <c r="G7" s="14" t="s">
        <v>64</v>
      </c>
      <c r="H7" s="14" t="s">
        <v>65</v>
      </c>
      <c r="I7" s="6"/>
      <c r="J7" s="6"/>
      <c r="K7" s="6"/>
      <c r="L7" s="6"/>
      <c r="M7" s="6"/>
      <c r="N7" s="6"/>
      <c r="O7" s="6"/>
      <c r="P7" s="6"/>
      <c r="Q7" s="6"/>
    </row>
    <row r="8" ht="22" customHeight="1" spans="1:17">
      <c r="A8" s="10"/>
      <c r="B8" s="10"/>
      <c r="C8" s="10"/>
      <c r="D8" s="6"/>
      <c r="E8" s="14" t="s">
        <v>31</v>
      </c>
      <c r="F8" s="14" t="s">
        <v>60</v>
      </c>
      <c r="G8" s="14" t="s">
        <v>66</v>
      </c>
      <c r="H8" s="14" t="s">
        <v>41</v>
      </c>
      <c r="I8" s="6"/>
      <c r="J8" s="6"/>
      <c r="K8" s="6"/>
      <c r="L8" s="6"/>
      <c r="M8" s="6"/>
      <c r="N8" s="6"/>
      <c r="O8" s="6"/>
      <c r="P8" s="6"/>
      <c r="Q8" s="6"/>
    </row>
    <row r="9" ht="22" customHeight="1" spans="1:17">
      <c r="A9" s="5"/>
      <c r="B9" s="5"/>
      <c r="C9" s="5"/>
      <c r="D9" s="6"/>
      <c r="E9" s="14" t="s">
        <v>67</v>
      </c>
      <c r="F9" s="14" t="s">
        <v>60</v>
      </c>
      <c r="G9" s="14" t="s">
        <v>68</v>
      </c>
      <c r="H9" s="14" t="s">
        <v>69</v>
      </c>
      <c r="I9" s="6"/>
      <c r="J9" s="6"/>
      <c r="K9" s="6"/>
      <c r="L9" s="6"/>
      <c r="M9" s="6"/>
      <c r="N9" s="6"/>
      <c r="O9" s="6"/>
      <c r="P9" s="6"/>
      <c r="Q9" s="6"/>
    </row>
    <row r="10" ht="22" customHeight="1" spans="1:17">
      <c r="A10" s="10" t="s">
        <v>5</v>
      </c>
      <c r="B10" s="10"/>
      <c r="C10" s="10"/>
      <c r="D10" s="6"/>
      <c r="E10" s="14" t="s">
        <v>20</v>
      </c>
      <c r="F10" s="14" t="s">
        <v>60</v>
      </c>
      <c r="G10" s="14" t="s">
        <v>70</v>
      </c>
      <c r="H10" s="14" t="s">
        <v>29</v>
      </c>
      <c r="I10" s="6"/>
      <c r="J10" s="6"/>
      <c r="K10" s="6"/>
      <c r="L10" s="6"/>
      <c r="M10" s="6"/>
      <c r="N10" s="6"/>
      <c r="O10" s="6"/>
      <c r="P10" s="6"/>
      <c r="Q10" s="6"/>
    </row>
    <row r="11" ht="22" customHeight="1" spans="1:17">
      <c r="A11" s="10"/>
      <c r="B11" s="10"/>
      <c r="C11" s="10"/>
      <c r="D11" s="6"/>
      <c r="E11" s="14" t="s">
        <v>71</v>
      </c>
      <c r="F11" s="14" t="s">
        <v>60</v>
      </c>
      <c r="G11" s="14" t="s">
        <v>72</v>
      </c>
      <c r="H11" s="14" t="s">
        <v>73</v>
      </c>
      <c r="I11" s="6"/>
      <c r="J11" s="6"/>
      <c r="K11" s="6"/>
      <c r="L11" s="6"/>
      <c r="M11" s="6"/>
      <c r="N11" s="6"/>
      <c r="O11" s="6"/>
      <c r="P11" s="6"/>
      <c r="Q11" s="6"/>
    </row>
    <row r="12" ht="22" customHeight="1" spans="1:17">
      <c r="A12" s="5"/>
      <c r="B12" s="5"/>
      <c r="C12" s="5"/>
      <c r="D12" s="6"/>
      <c r="E12" s="14" t="s">
        <v>74</v>
      </c>
      <c r="F12" s="14" t="s">
        <v>60</v>
      </c>
      <c r="G12" s="14" t="s">
        <v>75</v>
      </c>
      <c r="H12" s="14" t="s">
        <v>76</v>
      </c>
      <c r="I12" s="6"/>
      <c r="J12" s="6"/>
      <c r="K12" s="6"/>
      <c r="L12" s="6"/>
      <c r="M12" s="6"/>
      <c r="N12" s="6"/>
      <c r="O12" s="6"/>
      <c r="P12" s="6"/>
      <c r="Q12" s="6"/>
    </row>
    <row r="13" ht="22" customHeight="1" spans="1:17">
      <c r="A13" s="10" t="s">
        <v>10</v>
      </c>
      <c r="B13" s="10"/>
      <c r="C13" s="10"/>
      <c r="D13" s="6"/>
      <c r="E13" s="14" t="s">
        <v>77</v>
      </c>
      <c r="F13" s="14" t="s">
        <v>60</v>
      </c>
      <c r="G13" s="14" t="s">
        <v>78</v>
      </c>
      <c r="H13" s="14" t="s">
        <v>30</v>
      </c>
      <c r="I13" s="6"/>
      <c r="J13" s="6"/>
      <c r="K13" s="6"/>
      <c r="L13" s="6"/>
      <c r="M13" s="6"/>
      <c r="N13" s="6"/>
      <c r="O13" s="6"/>
      <c r="P13" s="6"/>
      <c r="Q13" s="6"/>
    </row>
    <row r="14" ht="22" customHeight="1" spans="1:17">
      <c r="A14" s="10"/>
      <c r="B14" s="10"/>
      <c r="C14" s="10"/>
      <c r="D14" s="6"/>
      <c r="E14" s="14" t="s">
        <v>79</v>
      </c>
      <c r="F14" s="14" t="s">
        <v>60</v>
      </c>
      <c r="G14" s="14" t="s">
        <v>80</v>
      </c>
      <c r="H14" s="14" t="s">
        <v>81</v>
      </c>
      <c r="I14" s="6"/>
      <c r="J14" s="6"/>
      <c r="K14" s="6"/>
      <c r="L14" s="6"/>
      <c r="M14" s="6"/>
      <c r="N14" s="6"/>
      <c r="O14" s="6"/>
      <c r="P14" s="6"/>
      <c r="Q14" s="6"/>
    </row>
    <row r="15" ht="22" customHeight="1" spans="1:17">
      <c r="A15" s="5"/>
      <c r="B15" s="5"/>
      <c r="C15" s="5"/>
      <c r="D15" s="6"/>
      <c r="E15" s="14" t="s">
        <v>82</v>
      </c>
      <c r="F15" s="14" t="s">
        <v>83</v>
      </c>
      <c r="G15" s="14" t="s">
        <v>84</v>
      </c>
      <c r="H15" s="14" t="s">
        <v>85</v>
      </c>
      <c r="I15" s="6"/>
      <c r="J15" s="6"/>
      <c r="K15" s="6"/>
      <c r="L15" s="6"/>
      <c r="M15" s="6"/>
      <c r="N15" s="6"/>
      <c r="O15" s="6"/>
      <c r="P15" s="6"/>
      <c r="Q15" s="6"/>
    </row>
    <row r="16" ht="22" customHeight="1" spans="1:17">
      <c r="A16" s="10" t="s">
        <v>11</v>
      </c>
      <c r="B16" s="10"/>
      <c r="C16" s="10"/>
      <c r="D16" s="6"/>
      <c r="E16" s="14" t="s">
        <v>86</v>
      </c>
      <c r="F16" s="14" t="s">
        <v>83</v>
      </c>
      <c r="G16" s="14" t="s">
        <v>87</v>
      </c>
      <c r="H16" s="14" t="s">
        <v>88</v>
      </c>
      <c r="I16" s="6"/>
      <c r="J16" s="6"/>
      <c r="K16" s="6"/>
      <c r="L16" s="6"/>
      <c r="M16" s="6"/>
      <c r="N16" s="6"/>
      <c r="O16" s="6"/>
      <c r="P16" s="6"/>
      <c r="Q16" s="6"/>
    </row>
    <row r="17" ht="22" customHeight="1" spans="1:17">
      <c r="A17" s="10"/>
      <c r="B17" s="10"/>
      <c r="C17" s="10"/>
      <c r="D17" s="6"/>
      <c r="E17" s="14" t="s">
        <v>21</v>
      </c>
      <c r="F17" s="14" t="s">
        <v>83</v>
      </c>
      <c r="G17" s="14" t="s">
        <v>89</v>
      </c>
      <c r="H17" s="14" t="s">
        <v>90</v>
      </c>
      <c r="I17" s="6"/>
      <c r="J17" s="6"/>
      <c r="K17" s="6"/>
      <c r="L17" s="6"/>
      <c r="M17" s="6"/>
      <c r="N17" s="6"/>
      <c r="O17" s="6"/>
      <c r="P17" s="6"/>
      <c r="Q17" s="6"/>
    </row>
    <row r="18" ht="22" customHeight="1" spans="1:17">
      <c r="A18" s="5"/>
      <c r="B18" s="5"/>
      <c r="C18" s="5"/>
      <c r="D18" s="6"/>
      <c r="E18" s="14" t="s">
        <v>91</v>
      </c>
      <c r="F18" s="14" t="s">
        <v>83</v>
      </c>
      <c r="G18" s="14" t="s">
        <v>92</v>
      </c>
      <c r="H18" s="14" t="s">
        <v>93</v>
      </c>
      <c r="I18" s="6"/>
      <c r="J18" s="6"/>
      <c r="K18" s="6"/>
      <c r="L18" s="6"/>
      <c r="M18" s="6"/>
      <c r="N18" s="6"/>
      <c r="O18" s="6"/>
      <c r="P18" s="6"/>
      <c r="Q18" s="6"/>
    </row>
    <row r="19" ht="22" customHeight="1" spans="1:17">
      <c r="A19" s="10" t="s">
        <v>12</v>
      </c>
      <c r="B19" s="10"/>
      <c r="C19" s="10"/>
      <c r="D19" s="6"/>
      <c r="E19" s="14" t="s">
        <v>23</v>
      </c>
      <c r="F19" s="14" t="s">
        <v>83</v>
      </c>
      <c r="G19" s="14" t="s">
        <v>94</v>
      </c>
      <c r="H19" s="14" t="s">
        <v>95</v>
      </c>
      <c r="I19" s="6"/>
      <c r="J19" s="6"/>
      <c r="K19" s="6"/>
      <c r="L19" s="6"/>
      <c r="M19" s="6"/>
      <c r="N19" s="6"/>
      <c r="O19" s="6"/>
      <c r="P19" s="6"/>
      <c r="Q19" s="6"/>
    </row>
    <row r="20" ht="22" customHeight="1" spans="1:17">
      <c r="A20" s="10"/>
      <c r="B20" s="10"/>
      <c r="C20" s="10"/>
      <c r="D20" s="6"/>
      <c r="E20" s="14" t="s">
        <v>96</v>
      </c>
      <c r="F20" s="14" t="s">
        <v>60</v>
      </c>
      <c r="G20" s="14" t="s">
        <v>97</v>
      </c>
      <c r="H20" s="14" t="s">
        <v>98</v>
      </c>
      <c r="I20" s="6"/>
      <c r="J20" s="6"/>
      <c r="K20" s="6"/>
      <c r="L20" s="6"/>
      <c r="M20" s="6"/>
      <c r="N20" s="6"/>
      <c r="O20" s="6"/>
      <c r="P20" s="6"/>
      <c r="Q20" s="6"/>
    </row>
    <row r="21" ht="22" customHeight="1" spans="1:17">
      <c r="A21" s="5"/>
      <c r="B21" s="5"/>
      <c r="C21" s="5"/>
      <c r="D21" s="6"/>
      <c r="E21" s="14" t="s">
        <v>99</v>
      </c>
      <c r="F21" s="14" t="s">
        <v>60</v>
      </c>
      <c r="G21" s="14" t="s">
        <v>100</v>
      </c>
      <c r="H21" s="14" t="s">
        <v>101</v>
      </c>
      <c r="I21" s="6"/>
      <c r="J21" s="6"/>
      <c r="K21" s="6"/>
      <c r="L21" s="6"/>
      <c r="M21" s="6"/>
      <c r="N21" s="6"/>
      <c r="O21" s="6"/>
      <c r="P21" s="6"/>
      <c r="Q21" s="6"/>
    </row>
    <row r="22" ht="22" customHeight="1" spans="1:17">
      <c r="A22" s="11" t="s">
        <v>14</v>
      </c>
      <c r="B22" s="11"/>
      <c r="C22" s="11"/>
      <c r="D22" s="6"/>
      <c r="E22" s="14" t="s">
        <v>102</v>
      </c>
      <c r="F22" s="14" t="s">
        <v>60</v>
      </c>
      <c r="G22" s="14" t="s">
        <v>103</v>
      </c>
      <c r="H22" s="14" t="s">
        <v>104</v>
      </c>
      <c r="I22" s="6"/>
      <c r="J22" s="6"/>
      <c r="K22" s="6"/>
      <c r="L22" s="6"/>
      <c r="M22" s="6"/>
      <c r="N22" s="6"/>
      <c r="O22" s="6"/>
      <c r="P22" s="6"/>
      <c r="Q22" s="6"/>
    </row>
    <row r="23" ht="22" customHeight="1" spans="1:17">
      <c r="A23" s="11"/>
      <c r="B23" s="11"/>
      <c r="C23" s="11"/>
      <c r="D23" s="6"/>
      <c r="E23" s="14" t="s">
        <v>105</v>
      </c>
      <c r="F23" s="14" t="s">
        <v>83</v>
      </c>
      <c r="G23" s="14" t="s">
        <v>106</v>
      </c>
      <c r="H23" s="14" t="s">
        <v>107</v>
      </c>
      <c r="I23" s="6"/>
      <c r="J23" s="6"/>
      <c r="K23" s="6"/>
      <c r="L23" s="6"/>
      <c r="M23" s="6"/>
      <c r="N23" s="6"/>
      <c r="O23" s="6"/>
      <c r="P23" s="6"/>
      <c r="Q23" s="6"/>
    </row>
    <row r="24" ht="22" customHeight="1" spans="1:17">
      <c r="A24" s="5"/>
      <c r="B24" s="5"/>
      <c r="C24" s="5"/>
      <c r="D24" s="6"/>
      <c r="E24" s="14" t="s">
        <v>108</v>
      </c>
      <c r="F24" s="14" t="s">
        <v>60</v>
      </c>
      <c r="G24" s="14" t="s">
        <v>109</v>
      </c>
      <c r="H24" s="14" t="s">
        <v>110</v>
      </c>
      <c r="I24" s="6"/>
      <c r="J24" s="6"/>
      <c r="K24" s="6"/>
      <c r="L24" s="6"/>
      <c r="M24" s="6"/>
      <c r="N24" s="6"/>
      <c r="O24" s="6"/>
      <c r="P24" s="6"/>
      <c r="Q24" s="6"/>
    </row>
    <row r="25" ht="22" customHeight="1" spans="1:17">
      <c r="A25" s="10" t="s">
        <v>15</v>
      </c>
      <c r="B25" s="10"/>
      <c r="C25" s="10"/>
      <c r="D25" s="6"/>
      <c r="E25" s="14" t="s">
        <v>111</v>
      </c>
      <c r="F25" s="14" t="s">
        <v>60</v>
      </c>
      <c r="G25" s="14" t="s">
        <v>112</v>
      </c>
      <c r="H25" s="14" t="s">
        <v>113</v>
      </c>
      <c r="I25" s="6"/>
      <c r="J25" s="6"/>
      <c r="K25" s="6"/>
      <c r="L25" s="6"/>
      <c r="M25" s="6"/>
      <c r="N25" s="6"/>
      <c r="O25" s="6"/>
      <c r="P25" s="6"/>
      <c r="Q25" s="6"/>
    </row>
    <row r="26" ht="22" customHeight="1" spans="1:17">
      <c r="A26" s="10"/>
      <c r="B26" s="10"/>
      <c r="C26" s="10"/>
      <c r="D26" s="6"/>
      <c r="E26" s="14" t="s">
        <v>114</v>
      </c>
      <c r="F26" s="14" t="s">
        <v>60</v>
      </c>
      <c r="G26" s="14" t="s">
        <v>115</v>
      </c>
      <c r="H26" s="14" t="s">
        <v>116</v>
      </c>
      <c r="I26" s="6"/>
      <c r="J26" s="6"/>
      <c r="K26" s="6"/>
      <c r="L26" s="6"/>
      <c r="M26" s="6"/>
      <c r="N26" s="6"/>
      <c r="O26" s="6"/>
      <c r="P26" s="6"/>
      <c r="Q26" s="6"/>
    </row>
    <row r="27" ht="22" customHeight="1" spans="1:17">
      <c r="A27" s="5"/>
      <c r="B27" s="5"/>
      <c r="C27" s="5"/>
      <c r="D27" s="6"/>
      <c r="E27" s="14" t="s">
        <v>117</v>
      </c>
      <c r="F27" s="14" t="s">
        <v>60</v>
      </c>
      <c r="G27" s="14" t="s">
        <v>118</v>
      </c>
      <c r="H27" s="14" t="s">
        <v>119</v>
      </c>
      <c r="I27" s="6"/>
      <c r="J27" s="6"/>
      <c r="K27" s="6"/>
      <c r="L27" s="6"/>
      <c r="M27" s="6"/>
      <c r="N27" s="6"/>
      <c r="O27" s="6"/>
      <c r="P27" s="6"/>
      <c r="Q27" s="6"/>
    </row>
    <row r="28" ht="22" customHeight="1" spans="1:17">
      <c r="A28" s="5"/>
      <c r="B28" s="5"/>
      <c r="C28" s="5"/>
      <c r="D28" s="6"/>
      <c r="E28" s="14" t="s">
        <v>120</v>
      </c>
      <c r="F28" s="14" t="s">
        <v>83</v>
      </c>
      <c r="G28" s="14" t="s">
        <v>121</v>
      </c>
      <c r="H28" s="14" t="s">
        <v>122</v>
      </c>
      <c r="I28" s="6"/>
      <c r="J28" s="6"/>
      <c r="K28" s="6"/>
      <c r="L28" s="6"/>
      <c r="M28" s="6"/>
      <c r="N28" s="6"/>
      <c r="O28" s="6"/>
      <c r="P28" s="6"/>
      <c r="Q28" s="6"/>
    </row>
    <row r="29" ht="22" customHeight="1" spans="1:17">
      <c r="A29" s="5"/>
      <c r="B29" s="5"/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ht="22" customHeight="1" spans="1:17">
      <c r="A30" s="5"/>
      <c r="B30" s="5"/>
      <c r="C30" s="5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ht="22" customHeight="1" spans="1:17">
      <c r="A31" s="5"/>
      <c r="B31" s="5"/>
      <c r="C31" s="5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ht="22" customHeight="1" spans="1:17">
      <c r="A32" s="5"/>
      <c r="B32" s="5"/>
      <c r="C32" s="5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ht="22" customHeight="1" spans="1:17">
      <c r="A33" s="5"/>
      <c r="B33" s="5"/>
      <c r="C33" s="5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ht="22" customHeight="1" spans="1:17">
      <c r="A34" s="5"/>
      <c r="B34" s="5"/>
      <c r="C34" s="5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ht="22" customHeight="1" spans="1:17">
      <c r="A35" s="5"/>
      <c r="B35" s="5"/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ht="22" customHeight="1" spans="1:17">
      <c r="A36" s="5"/>
      <c r="B36" s="5"/>
      <c r="C36" s="5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ht="22" customHeight="1" spans="1:17">
      <c r="A37" s="5"/>
      <c r="B37" s="5"/>
      <c r="C37" s="5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ht="22" customHeight="1" spans="1:17">
      <c r="A38" s="5"/>
      <c r="B38" s="5"/>
      <c r="C38" s="5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ht="22" customHeight="1" spans="1:17">
      <c r="A39" s="12" t="s">
        <v>17</v>
      </c>
      <c r="B39" s="12"/>
      <c r="C39" s="12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ht="22" customHeight="1" spans="1:17">
      <c r="A40" s="12"/>
      <c r="B40" s="12"/>
      <c r="C40" s="12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ht="22" customHeight="1" spans="1:17">
      <c r="A41" s="12"/>
      <c r="B41" s="12"/>
      <c r="C41" s="1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ht="22" customHeight="1" spans="1:17">
      <c r="A42" s="12"/>
      <c r="B42" s="12"/>
      <c r="C42" s="12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ht="22" customHeight="1" spans="1:17">
      <c r="A43" s="12"/>
      <c r="B43" s="12"/>
      <c r="C43" s="12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ht="22" customHeight="1" spans="1:17">
      <c r="A44" s="5"/>
      <c r="B44" s="5"/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ht="22" customHeight="1" spans="1:17">
      <c r="A45" s="5"/>
      <c r="B45" s="5"/>
      <c r="C45" s="5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ht="22" customHeight="1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ht="22" customHeight="1" spans="1:1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ht="22" customHeight="1" spans="1:17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ht="22" customHeight="1" spans="1:17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ht="22" customHeight="1" spans="1:17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ht="22" customHeight="1" spans="1:17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ht="22" customHeight="1" spans="1:17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ht="22" customHeight="1" spans="1:17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ht="22" customHeight="1" spans="1:17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ht="22" customHeight="1" spans="1:17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ht="22" customHeight="1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ht="22" customHeight="1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ht="22" customHeight="1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ht="22" customHeight="1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ht="22" customHeight="1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</sheetData>
  <mergeCells count="10">
    <mergeCell ref="A2:C5"/>
    <mergeCell ref="A7:C8"/>
    <mergeCell ref="A10:C11"/>
    <mergeCell ref="A13:C14"/>
    <mergeCell ref="A16:C17"/>
    <mergeCell ref="A19:C20"/>
    <mergeCell ref="A22:C23"/>
    <mergeCell ref="A25:C26"/>
    <mergeCell ref="A39:C43"/>
    <mergeCell ref="E2:P3"/>
  </mergeCell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60"/>
  <sheetViews>
    <sheetView workbookViewId="0">
      <selection activeCell="A1" sqref="A1"/>
    </sheetView>
  </sheetViews>
  <sheetFormatPr defaultColWidth="9" defaultRowHeight="13.8"/>
  <cols>
    <col min="1" max="4" width="11" customWidth="1"/>
    <col min="5" max="8" width="25" customWidth="1"/>
    <col min="9" max="17" width="11" customWidth="1"/>
  </cols>
  <sheetData>
    <row r="1" ht="22" customHeight="1" spans="1:17">
      <c r="A1" s="5"/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ht="22" customHeight="1" spans="1:17">
      <c r="A2" s="7" t="s">
        <v>0</v>
      </c>
      <c r="B2" s="7"/>
      <c r="C2" s="7"/>
      <c r="D2" s="6"/>
      <c r="E2" s="8" t="s">
        <v>15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6"/>
    </row>
    <row r="3" ht="22" customHeight="1" spans="1:17">
      <c r="A3" s="7"/>
      <c r="B3" s="7"/>
      <c r="C3" s="7"/>
      <c r="D3" s="6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6"/>
    </row>
    <row r="4" ht="22" customHeight="1" spans="1:17">
      <c r="A4" s="7"/>
      <c r="B4" s="7"/>
      <c r="C4" s="7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</row>
    <row r="5" ht="22" customHeight="1" spans="1:17">
      <c r="A5" s="7"/>
      <c r="B5" s="7"/>
      <c r="C5" s="7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</row>
    <row r="6" ht="22" customHeight="1" spans="1:17">
      <c r="A6" s="5"/>
      <c r="B6" s="5"/>
      <c r="C6" s="5"/>
      <c r="D6" s="6"/>
      <c r="E6" s="9" t="s">
        <v>123</v>
      </c>
      <c r="F6" s="9" t="s">
        <v>124</v>
      </c>
      <c r="G6" s="9" t="s">
        <v>125</v>
      </c>
      <c r="H6" s="9" t="s">
        <v>126</v>
      </c>
      <c r="I6" s="6"/>
      <c r="J6" s="6"/>
      <c r="K6" s="6"/>
      <c r="L6" s="6"/>
      <c r="M6" s="6"/>
      <c r="N6" s="6"/>
      <c r="O6" s="6"/>
      <c r="P6" s="6"/>
      <c r="Q6" s="6"/>
    </row>
    <row r="7" ht="22" customHeight="1" spans="1:17">
      <c r="A7" s="10" t="s">
        <v>4</v>
      </c>
      <c r="B7" s="10"/>
      <c r="C7" s="10"/>
      <c r="D7" s="6"/>
      <c r="E7" s="6" t="s">
        <v>127</v>
      </c>
      <c r="F7" s="6" t="s">
        <v>128</v>
      </c>
      <c r="G7" s="6" t="s">
        <v>129</v>
      </c>
      <c r="H7" s="6" t="s">
        <v>130</v>
      </c>
      <c r="I7" s="6"/>
      <c r="J7" s="6"/>
      <c r="K7" s="6"/>
      <c r="L7" s="6"/>
      <c r="M7" s="6"/>
      <c r="N7" s="6"/>
      <c r="O7" s="6"/>
      <c r="P7" s="6"/>
      <c r="Q7" s="6"/>
    </row>
    <row r="8" ht="22" customHeight="1" spans="1:17">
      <c r="A8" s="10"/>
      <c r="B8" s="10"/>
      <c r="C8" s="10"/>
      <c r="D8" s="6"/>
      <c r="E8" s="6" t="s">
        <v>131</v>
      </c>
      <c r="F8" s="6" t="s">
        <v>132</v>
      </c>
      <c r="G8" s="6" t="s">
        <v>133</v>
      </c>
      <c r="H8" s="6" t="s">
        <v>130</v>
      </c>
      <c r="I8" s="6"/>
      <c r="J8" s="6"/>
      <c r="K8" s="6"/>
      <c r="L8" s="6"/>
      <c r="M8" s="6"/>
      <c r="N8" s="6"/>
      <c r="O8" s="6"/>
      <c r="P8" s="6"/>
      <c r="Q8" s="6"/>
    </row>
    <row r="9" ht="22" customHeight="1" spans="1:17">
      <c r="A9" s="5"/>
      <c r="B9" s="5"/>
      <c r="C9" s="5"/>
      <c r="D9" s="6"/>
      <c r="E9" s="6" t="s">
        <v>134</v>
      </c>
      <c r="F9" s="6" t="s">
        <v>135</v>
      </c>
      <c r="G9" s="6" t="s">
        <v>136</v>
      </c>
      <c r="H9" s="6" t="s">
        <v>137</v>
      </c>
      <c r="I9" s="6"/>
      <c r="J9" s="6"/>
      <c r="K9" s="6"/>
      <c r="L9" s="6"/>
      <c r="M9" s="6"/>
      <c r="N9" s="6"/>
      <c r="O9" s="6"/>
      <c r="P9" s="6"/>
      <c r="Q9" s="6"/>
    </row>
    <row r="10" ht="22" customHeight="1" spans="1:17">
      <c r="A10" s="10" t="s">
        <v>5</v>
      </c>
      <c r="B10" s="10"/>
      <c r="C10" s="10"/>
      <c r="D10" s="6"/>
      <c r="E10" s="6" t="s">
        <v>138</v>
      </c>
      <c r="F10" s="6" t="s">
        <v>139</v>
      </c>
      <c r="G10" s="6" t="s">
        <v>140</v>
      </c>
      <c r="H10" s="6" t="s">
        <v>137</v>
      </c>
      <c r="I10" s="6"/>
      <c r="J10" s="6"/>
      <c r="K10" s="6"/>
      <c r="L10" s="6"/>
      <c r="M10" s="6"/>
      <c r="N10" s="6"/>
      <c r="O10" s="6"/>
      <c r="P10" s="6"/>
      <c r="Q10" s="6"/>
    </row>
    <row r="11" ht="22" customHeight="1" spans="1:17">
      <c r="A11" s="10"/>
      <c r="B11" s="10"/>
      <c r="C11" s="10"/>
      <c r="D11" s="6"/>
      <c r="E11" s="6" t="s">
        <v>141</v>
      </c>
      <c r="F11" s="6" t="s">
        <v>139</v>
      </c>
      <c r="G11" s="6" t="s">
        <v>142</v>
      </c>
      <c r="H11" s="6" t="s">
        <v>137</v>
      </c>
      <c r="I11" s="6"/>
      <c r="J11" s="6"/>
      <c r="K11" s="6"/>
      <c r="L11" s="6"/>
      <c r="M11" s="6"/>
      <c r="N11" s="6"/>
      <c r="O11" s="6"/>
      <c r="P11" s="6"/>
      <c r="Q11" s="6"/>
    </row>
    <row r="12" ht="22" customHeight="1" spans="1:17">
      <c r="A12" s="5"/>
      <c r="B12" s="5"/>
      <c r="C12" s="5"/>
      <c r="D12" s="6"/>
      <c r="E12" s="6" t="s">
        <v>11</v>
      </c>
      <c r="F12" s="6" t="s">
        <v>139</v>
      </c>
      <c r="G12" s="6" t="s">
        <v>143</v>
      </c>
      <c r="H12" s="6" t="s">
        <v>137</v>
      </c>
      <c r="I12" s="6"/>
      <c r="J12" s="6"/>
      <c r="K12" s="6"/>
      <c r="L12" s="6"/>
      <c r="M12" s="6"/>
      <c r="N12" s="6"/>
      <c r="O12" s="6"/>
      <c r="P12" s="6"/>
      <c r="Q12" s="6"/>
    </row>
    <row r="13" ht="22" customHeight="1" spans="1:17">
      <c r="A13" s="10" t="s">
        <v>10</v>
      </c>
      <c r="B13" s="10"/>
      <c r="C13" s="10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ht="22" customHeight="1" spans="1:17">
      <c r="A14" s="10"/>
      <c r="B14" s="10"/>
      <c r="C14" s="10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</row>
    <row r="15" ht="22" customHeight="1" spans="1:17">
      <c r="A15" s="5"/>
      <c r="B15" s="5"/>
      <c r="C15" s="5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ht="22" customHeight="1" spans="1:17">
      <c r="A16" s="10" t="s">
        <v>11</v>
      </c>
      <c r="B16" s="10"/>
      <c r="C16" s="10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ht="22" customHeight="1" spans="1:17">
      <c r="A17" s="10"/>
      <c r="B17" s="10"/>
      <c r="C17" s="10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ht="22" customHeight="1" spans="1:17">
      <c r="A18" s="5"/>
      <c r="B18" s="5"/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ht="22" customHeight="1" spans="1:17">
      <c r="A19" s="10" t="s">
        <v>12</v>
      </c>
      <c r="B19" s="10"/>
      <c r="C19" s="10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ht="22" customHeight="1" spans="1:17">
      <c r="A20" s="10"/>
      <c r="B20" s="10"/>
      <c r="C20" s="10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</row>
    <row r="21" ht="22" customHeight="1" spans="1:17">
      <c r="A21" s="5"/>
      <c r="B21" s="5"/>
      <c r="C21" s="5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ht="22" customHeight="1" spans="1:17">
      <c r="A22" s="10" t="s">
        <v>14</v>
      </c>
      <c r="B22" s="10"/>
      <c r="C22" s="10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ht="22" customHeight="1" spans="1:17">
      <c r="A23" s="10"/>
      <c r="B23" s="10"/>
      <c r="C23" s="10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ht="22" customHeight="1" spans="1:17">
      <c r="A24" s="5"/>
      <c r="B24" s="5"/>
      <c r="C24" s="5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</row>
    <row r="25" ht="22" customHeight="1" spans="1:17">
      <c r="A25" s="11" t="s">
        <v>15</v>
      </c>
      <c r="B25" s="11"/>
      <c r="C25" s="11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ht="22" customHeight="1" spans="1:17">
      <c r="A26" s="11"/>
      <c r="B26" s="11"/>
      <c r="C26" s="11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ht="22" customHeight="1" spans="1:17">
      <c r="A27" s="5"/>
      <c r="B27" s="5"/>
      <c r="C27" s="5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ht="22" customHeight="1" spans="1:17">
      <c r="A28" s="5"/>
      <c r="B28" s="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ht="22" customHeight="1" spans="1:17">
      <c r="A29" s="5"/>
      <c r="B29" s="5"/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ht="22" customHeight="1" spans="1:17">
      <c r="A30" s="5"/>
      <c r="B30" s="5"/>
      <c r="C30" s="5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ht="22" customHeight="1" spans="1:17">
      <c r="A31" s="5"/>
      <c r="B31" s="5"/>
      <c r="C31" s="5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ht="22" customHeight="1" spans="1:17">
      <c r="A32" s="5"/>
      <c r="B32" s="5"/>
      <c r="C32" s="5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ht="22" customHeight="1" spans="1:17">
      <c r="A33" s="5"/>
      <c r="B33" s="5"/>
      <c r="C33" s="5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ht="22" customHeight="1" spans="1:17">
      <c r="A34" s="5"/>
      <c r="B34" s="5"/>
      <c r="C34" s="5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ht="22" customHeight="1" spans="1:17">
      <c r="A35" s="5"/>
      <c r="B35" s="5"/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ht="22" customHeight="1" spans="1:17">
      <c r="A36" s="5"/>
      <c r="B36" s="5"/>
      <c r="C36" s="5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ht="22" customHeight="1" spans="1:17">
      <c r="A37" s="5"/>
      <c r="B37" s="5"/>
      <c r="C37" s="5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ht="22" customHeight="1" spans="1:17">
      <c r="A38" s="5"/>
      <c r="B38" s="5"/>
      <c r="C38" s="5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ht="22" customHeight="1" spans="1:17">
      <c r="A39" s="12" t="s">
        <v>17</v>
      </c>
      <c r="B39" s="12"/>
      <c r="C39" s="12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ht="22" customHeight="1" spans="1:17">
      <c r="A40" s="12"/>
      <c r="B40" s="12"/>
      <c r="C40" s="12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ht="22" customHeight="1" spans="1:17">
      <c r="A41" s="12"/>
      <c r="B41" s="12"/>
      <c r="C41" s="1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ht="22" customHeight="1" spans="1:17">
      <c r="A42" s="12"/>
      <c r="B42" s="12"/>
      <c r="C42" s="12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ht="22" customHeight="1" spans="1:17">
      <c r="A43" s="12"/>
      <c r="B43" s="12"/>
      <c r="C43" s="12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ht="22" customHeight="1" spans="1:17">
      <c r="A44" s="5"/>
      <c r="B44" s="5"/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ht="22" customHeight="1" spans="1:17">
      <c r="A45" s="5"/>
      <c r="B45" s="5"/>
      <c r="C45" s="5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ht="22" customHeight="1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ht="22" customHeight="1" spans="1:1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ht="22" customHeight="1" spans="1:17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ht="22" customHeight="1" spans="1:17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ht="22" customHeight="1" spans="1:17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ht="22" customHeight="1" spans="1:17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ht="22" customHeight="1" spans="1:17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ht="22" customHeight="1" spans="1:17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ht="22" customHeight="1" spans="1:17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ht="22" customHeight="1" spans="1:17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ht="22" customHeight="1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ht="22" customHeight="1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ht="22" customHeight="1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ht="22" customHeight="1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ht="22" customHeight="1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</sheetData>
  <mergeCells count="10">
    <mergeCell ref="A2:C5"/>
    <mergeCell ref="A7:C8"/>
    <mergeCell ref="A10:C11"/>
    <mergeCell ref="A13:C14"/>
    <mergeCell ref="A16:C17"/>
    <mergeCell ref="A19:C20"/>
    <mergeCell ref="A22:C23"/>
    <mergeCell ref="A25:C26"/>
    <mergeCell ref="A39:C43"/>
    <mergeCell ref="E2:P3"/>
  </mergeCell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301"/>
  <sheetViews>
    <sheetView workbookViewId="0">
      <selection activeCell="A1" sqref="A1"/>
    </sheetView>
  </sheetViews>
  <sheetFormatPr defaultColWidth="9" defaultRowHeight="13.8"/>
  <cols>
    <col min="1" max="6" width="15" customWidth="1"/>
    <col min="7" max="9" width="20" customWidth="1"/>
    <col min="10" max="23" width="15" customWidth="1"/>
  </cols>
  <sheetData>
    <row r="1" spans="1:23">
      <c r="A1" s="1" t="s">
        <v>59</v>
      </c>
      <c r="B1" s="1" t="s">
        <v>63</v>
      </c>
      <c r="C1" s="1" t="s">
        <v>31</v>
      </c>
      <c r="D1" s="1" t="s">
        <v>67</v>
      </c>
      <c r="E1" s="1" t="s">
        <v>20</v>
      </c>
      <c r="F1" s="1" t="s">
        <v>71</v>
      </c>
      <c r="G1" s="1" t="s">
        <v>74</v>
      </c>
      <c r="H1" s="1" t="s">
        <v>77</v>
      </c>
      <c r="I1" s="1" t="s">
        <v>79</v>
      </c>
      <c r="J1" s="1" t="s">
        <v>82</v>
      </c>
      <c r="K1" s="1" t="s">
        <v>86</v>
      </c>
      <c r="L1" s="1" t="s">
        <v>21</v>
      </c>
      <c r="M1" s="1" t="s">
        <v>91</v>
      </c>
      <c r="N1" s="1" t="s">
        <v>23</v>
      </c>
      <c r="O1" s="1" t="s">
        <v>96</v>
      </c>
      <c r="P1" s="1" t="s">
        <v>99</v>
      </c>
      <c r="Q1" s="1" t="s">
        <v>102</v>
      </c>
      <c r="R1" s="1" t="s">
        <v>105</v>
      </c>
      <c r="S1" s="1" t="s">
        <v>108</v>
      </c>
      <c r="T1" s="1" t="s">
        <v>111</v>
      </c>
      <c r="U1" s="1" t="s">
        <v>114</v>
      </c>
      <c r="V1" s="1" t="s">
        <v>117</v>
      </c>
      <c r="W1" s="1" t="s">
        <v>120</v>
      </c>
    </row>
    <row r="2" spans="1:23">
      <c r="A2" t="s">
        <v>62</v>
      </c>
      <c r="B2" s="2">
        <v>45917</v>
      </c>
      <c r="C2" t="s">
        <v>41</v>
      </c>
      <c r="D2" t="s">
        <v>69</v>
      </c>
      <c r="E2" t="s">
        <v>29</v>
      </c>
      <c r="F2" t="s">
        <v>73</v>
      </c>
      <c r="G2" t="s">
        <v>76</v>
      </c>
      <c r="H2" t="s">
        <v>30</v>
      </c>
      <c r="I2" t="s">
        <v>81</v>
      </c>
      <c r="J2">
        <v>6</v>
      </c>
      <c r="K2" s="3">
        <v>2110</v>
      </c>
      <c r="L2" s="3">
        <v>12660</v>
      </c>
      <c r="M2" s="3">
        <v>5580</v>
      </c>
      <c r="N2" s="3">
        <v>7080</v>
      </c>
      <c r="O2" s="4">
        <v>0.559241706161137</v>
      </c>
      <c r="P2" t="s">
        <v>101</v>
      </c>
      <c r="Q2" t="s">
        <v>104</v>
      </c>
      <c r="R2" s="3">
        <v>14100</v>
      </c>
      <c r="S2" s="4">
        <v>0.897872340425532</v>
      </c>
      <c r="T2" s="4">
        <v>0.0897061684757562</v>
      </c>
      <c r="U2" t="s">
        <v>116</v>
      </c>
      <c r="V2" s="4">
        <v>0</v>
      </c>
      <c r="W2">
        <v>3.8</v>
      </c>
    </row>
    <row r="3" spans="1:23">
      <c r="A3" t="s">
        <v>144</v>
      </c>
      <c r="B3" s="2">
        <v>46007</v>
      </c>
      <c r="C3" t="s">
        <v>44</v>
      </c>
      <c r="D3" t="s">
        <v>145</v>
      </c>
      <c r="E3" t="s">
        <v>26</v>
      </c>
      <c r="F3" t="s">
        <v>146</v>
      </c>
      <c r="G3" t="s">
        <v>147</v>
      </c>
      <c r="H3" t="s">
        <v>27</v>
      </c>
      <c r="I3" t="s">
        <v>148</v>
      </c>
      <c r="J3">
        <v>10</v>
      </c>
      <c r="K3" s="3">
        <v>19600</v>
      </c>
      <c r="L3" s="3">
        <v>196000</v>
      </c>
      <c r="M3" s="3">
        <v>139000</v>
      </c>
      <c r="N3" s="3">
        <v>57000</v>
      </c>
      <c r="O3" s="4">
        <v>0.290816326530612</v>
      </c>
      <c r="P3" t="s">
        <v>101</v>
      </c>
      <c r="Q3" t="s">
        <v>104</v>
      </c>
      <c r="R3" s="3">
        <v>186300</v>
      </c>
      <c r="S3" s="4">
        <v>1.05206655931294</v>
      </c>
      <c r="T3" s="4">
        <v>0.160360313490141</v>
      </c>
      <c r="U3" t="s">
        <v>116</v>
      </c>
      <c r="V3" s="4">
        <v>0.08</v>
      </c>
      <c r="W3">
        <v>4.8</v>
      </c>
    </row>
    <row r="4" spans="1:23">
      <c r="A4" t="s">
        <v>149</v>
      </c>
      <c r="B4" s="2">
        <v>45777</v>
      </c>
      <c r="C4" t="s">
        <v>36</v>
      </c>
      <c r="D4" t="s">
        <v>150</v>
      </c>
      <c r="E4" t="s">
        <v>29</v>
      </c>
      <c r="F4" t="s">
        <v>151</v>
      </c>
      <c r="G4" t="s">
        <v>76</v>
      </c>
      <c r="H4" t="s">
        <v>25</v>
      </c>
      <c r="I4" t="s">
        <v>152</v>
      </c>
      <c r="J4">
        <v>14</v>
      </c>
      <c r="K4" s="3">
        <v>25050</v>
      </c>
      <c r="L4" s="3">
        <v>350700</v>
      </c>
      <c r="M4" s="3">
        <v>257600</v>
      </c>
      <c r="N4" s="3">
        <v>93100</v>
      </c>
      <c r="O4" s="4">
        <v>0.265469061876248</v>
      </c>
      <c r="P4" t="s">
        <v>101</v>
      </c>
      <c r="Q4" t="s">
        <v>153</v>
      </c>
      <c r="R4" s="3">
        <v>388300</v>
      </c>
      <c r="S4" s="4">
        <v>0.903167653875869</v>
      </c>
      <c r="T4" s="4">
        <v>-0.00323244568818977</v>
      </c>
      <c r="U4" t="s">
        <v>116</v>
      </c>
      <c r="V4" s="4">
        <v>0.03</v>
      </c>
      <c r="W4">
        <v>5</v>
      </c>
    </row>
    <row r="5" spans="1:23">
      <c r="A5" t="s">
        <v>154</v>
      </c>
      <c r="B5" s="2">
        <v>45997</v>
      </c>
      <c r="C5" t="s">
        <v>44</v>
      </c>
      <c r="D5" t="s">
        <v>145</v>
      </c>
      <c r="E5" t="s">
        <v>28</v>
      </c>
      <c r="F5" t="s">
        <v>155</v>
      </c>
      <c r="G5" t="s">
        <v>156</v>
      </c>
      <c r="H5" t="s">
        <v>27</v>
      </c>
      <c r="I5" t="s">
        <v>157</v>
      </c>
      <c r="J5">
        <v>4</v>
      </c>
      <c r="K5" s="3">
        <v>12310</v>
      </c>
      <c r="L5" s="3">
        <v>49240</v>
      </c>
      <c r="M5" s="3">
        <v>30400</v>
      </c>
      <c r="N5" s="3">
        <v>18840</v>
      </c>
      <c r="O5" s="4">
        <v>0.382615759545085</v>
      </c>
      <c r="P5" t="s">
        <v>101</v>
      </c>
      <c r="Q5" t="s">
        <v>153</v>
      </c>
      <c r="R5" s="3">
        <v>46900</v>
      </c>
      <c r="S5" s="4">
        <v>1.0498933901919</v>
      </c>
      <c r="T5" s="4">
        <v>0.122698102023739</v>
      </c>
      <c r="U5" t="s">
        <v>116</v>
      </c>
      <c r="V5" s="4">
        <v>0</v>
      </c>
      <c r="W5">
        <v>4.3</v>
      </c>
    </row>
    <row r="6" spans="1:23">
      <c r="A6" t="s">
        <v>158</v>
      </c>
      <c r="B6" s="2">
        <v>45726</v>
      </c>
      <c r="C6" t="s">
        <v>35</v>
      </c>
      <c r="D6" t="s">
        <v>159</v>
      </c>
      <c r="E6" t="s">
        <v>24</v>
      </c>
      <c r="F6" t="s">
        <v>160</v>
      </c>
      <c r="G6" t="s">
        <v>161</v>
      </c>
      <c r="H6" t="s">
        <v>27</v>
      </c>
      <c r="I6" t="s">
        <v>162</v>
      </c>
      <c r="J6">
        <v>12</v>
      </c>
      <c r="K6" s="3">
        <v>19990</v>
      </c>
      <c r="L6" s="3">
        <v>239880</v>
      </c>
      <c r="M6" s="3">
        <v>151200</v>
      </c>
      <c r="N6" s="3">
        <v>88680</v>
      </c>
      <c r="O6" s="4">
        <v>0.369684842421211</v>
      </c>
      <c r="P6" t="s">
        <v>101</v>
      </c>
      <c r="Q6" t="s">
        <v>153</v>
      </c>
      <c r="R6" s="3">
        <v>240800</v>
      </c>
      <c r="S6" s="4">
        <v>0.996179401993356</v>
      </c>
      <c r="T6" s="4">
        <v>0.0468826821271646</v>
      </c>
      <c r="U6" t="s">
        <v>116</v>
      </c>
      <c r="V6" s="4">
        <v>0</v>
      </c>
      <c r="W6">
        <v>4.5</v>
      </c>
    </row>
    <row r="7" spans="1:23">
      <c r="A7" t="s">
        <v>163</v>
      </c>
      <c r="B7" s="2">
        <v>45675</v>
      </c>
      <c r="C7" t="s">
        <v>33</v>
      </c>
      <c r="D7" t="s">
        <v>159</v>
      </c>
      <c r="E7" t="s">
        <v>29</v>
      </c>
      <c r="F7" t="s">
        <v>151</v>
      </c>
      <c r="G7" t="s">
        <v>164</v>
      </c>
      <c r="H7" t="s">
        <v>25</v>
      </c>
      <c r="I7" t="s">
        <v>152</v>
      </c>
      <c r="J7">
        <v>16</v>
      </c>
      <c r="K7" s="3">
        <v>25950</v>
      </c>
      <c r="L7" s="3">
        <v>415200</v>
      </c>
      <c r="M7" s="3">
        <v>294400</v>
      </c>
      <c r="N7" s="3">
        <v>120800</v>
      </c>
      <c r="O7" s="4">
        <v>0.290944123314065</v>
      </c>
      <c r="P7" t="s">
        <v>165</v>
      </c>
      <c r="Q7" t="s">
        <v>104</v>
      </c>
      <c r="R7" s="3">
        <v>407100</v>
      </c>
      <c r="S7" s="4">
        <v>1.01989683124539</v>
      </c>
      <c r="T7" s="4">
        <v>0.0809620651528838</v>
      </c>
      <c r="U7" t="s">
        <v>116</v>
      </c>
      <c r="V7" s="4">
        <v>0</v>
      </c>
      <c r="W7">
        <v>4.9</v>
      </c>
    </row>
    <row r="8" spans="1:23">
      <c r="A8" t="s">
        <v>166</v>
      </c>
      <c r="B8" s="2">
        <v>45917</v>
      </c>
      <c r="C8" t="s">
        <v>41</v>
      </c>
      <c r="D8" t="s">
        <v>69</v>
      </c>
      <c r="E8" t="s">
        <v>28</v>
      </c>
      <c r="F8" t="s">
        <v>167</v>
      </c>
      <c r="G8" t="s">
        <v>168</v>
      </c>
      <c r="H8" t="s">
        <v>30</v>
      </c>
      <c r="I8" t="s">
        <v>169</v>
      </c>
      <c r="J8">
        <v>14</v>
      </c>
      <c r="K8" s="3">
        <v>3700</v>
      </c>
      <c r="L8" s="3">
        <v>51800</v>
      </c>
      <c r="M8" s="3">
        <v>24640</v>
      </c>
      <c r="N8" s="3">
        <v>27160</v>
      </c>
      <c r="O8" s="4">
        <v>0.524324324324324</v>
      </c>
      <c r="P8" t="s">
        <v>101</v>
      </c>
      <c r="Q8" t="s">
        <v>153</v>
      </c>
      <c r="R8" s="3">
        <v>48700</v>
      </c>
      <c r="S8" s="4">
        <v>1.06365503080082</v>
      </c>
      <c r="T8" s="4">
        <v>0.165581375916835</v>
      </c>
      <c r="U8" t="s">
        <v>116</v>
      </c>
      <c r="V8" s="4">
        <v>0.08</v>
      </c>
      <c r="W8">
        <v>3.7</v>
      </c>
    </row>
    <row r="9" spans="1:23">
      <c r="A9" t="s">
        <v>170</v>
      </c>
      <c r="B9" s="2">
        <v>45696</v>
      </c>
      <c r="C9" t="s">
        <v>34</v>
      </c>
      <c r="D9" t="s">
        <v>159</v>
      </c>
      <c r="E9" t="s">
        <v>26</v>
      </c>
      <c r="F9" t="s">
        <v>171</v>
      </c>
      <c r="G9" t="s">
        <v>147</v>
      </c>
      <c r="H9" t="s">
        <v>4</v>
      </c>
      <c r="I9" t="s">
        <v>172</v>
      </c>
      <c r="J9">
        <v>7</v>
      </c>
      <c r="K9" s="3">
        <v>11780</v>
      </c>
      <c r="L9" s="3">
        <v>82460</v>
      </c>
      <c r="M9" s="3">
        <v>49700</v>
      </c>
      <c r="N9" s="3">
        <v>32760</v>
      </c>
      <c r="O9" s="4">
        <v>0.397283531409168</v>
      </c>
      <c r="P9" t="s">
        <v>101</v>
      </c>
      <c r="Q9" t="s">
        <v>104</v>
      </c>
      <c r="R9" s="3">
        <v>78200</v>
      </c>
      <c r="S9" s="4">
        <v>1.05447570332481</v>
      </c>
      <c r="T9" s="4">
        <v>-0.0602827696082243</v>
      </c>
      <c r="U9" t="s">
        <v>116</v>
      </c>
      <c r="V9" s="4">
        <v>0</v>
      </c>
      <c r="W9">
        <v>4.5</v>
      </c>
    </row>
    <row r="10" spans="1:23">
      <c r="A10" t="s">
        <v>173</v>
      </c>
      <c r="B10" s="2">
        <v>45766</v>
      </c>
      <c r="C10" t="s">
        <v>36</v>
      </c>
      <c r="D10" t="s">
        <v>150</v>
      </c>
      <c r="E10" t="s">
        <v>26</v>
      </c>
      <c r="F10" t="s">
        <v>174</v>
      </c>
      <c r="G10" t="s">
        <v>175</v>
      </c>
      <c r="H10" t="s">
        <v>4</v>
      </c>
      <c r="I10" t="s">
        <v>172</v>
      </c>
      <c r="J10">
        <v>4</v>
      </c>
      <c r="K10" s="3">
        <v>11160</v>
      </c>
      <c r="L10" s="3">
        <v>44640</v>
      </c>
      <c r="M10" s="3">
        <v>28400</v>
      </c>
      <c r="N10" s="3">
        <v>16240</v>
      </c>
      <c r="O10" s="4">
        <v>0.363799283154122</v>
      </c>
      <c r="P10" t="s">
        <v>101</v>
      </c>
      <c r="Q10" t="s">
        <v>153</v>
      </c>
      <c r="R10" s="3">
        <v>50800</v>
      </c>
      <c r="S10" s="4">
        <v>0.878740157480315</v>
      </c>
      <c r="T10" s="4">
        <v>0.0575533299480944</v>
      </c>
      <c r="U10" t="s">
        <v>116</v>
      </c>
      <c r="V10" s="4">
        <v>0.03</v>
      </c>
      <c r="W10">
        <v>3.6</v>
      </c>
    </row>
    <row r="11" spans="1:23">
      <c r="A11" t="s">
        <v>176</v>
      </c>
      <c r="B11" s="2">
        <v>45766</v>
      </c>
      <c r="C11" t="s">
        <v>36</v>
      </c>
      <c r="D11" t="s">
        <v>150</v>
      </c>
      <c r="E11" t="s">
        <v>28</v>
      </c>
      <c r="F11" t="s">
        <v>177</v>
      </c>
      <c r="G11" t="s">
        <v>168</v>
      </c>
      <c r="H11" t="s">
        <v>27</v>
      </c>
      <c r="I11" t="s">
        <v>148</v>
      </c>
      <c r="J11">
        <v>7</v>
      </c>
      <c r="K11" s="3">
        <v>21590</v>
      </c>
      <c r="L11" s="3">
        <v>151130</v>
      </c>
      <c r="M11" s="3">
        <v>97300</v>
      </c>
      <c r="N11" s="3">
        <v>53830</v>
      </c>
      <c r="O11" s="4">
        <v>0.356183418249189</v>
      </c>
      <c r="P11" t="s">
        <v>101</v>
      </c>
      <c r="Q11" t="s">
        <v>104</v>
      </c>
      <c r="R11" s="3">
        <v>172300</v>
      </c>
      <c r="S11" s="4">
        <v>0.877132907719095</v>
      </c>
      <c r="T11" s="4">
        <v>-0.0129317250637003</v>
      </c>
      <c r="U11" t="s">
        <v>116</v>
      </c>
      <c r="V11" s="4">
        <v>0</v>
      </c>
      <c r="W11">
        <v>4.5</v>
      </c>
    </row>
    <row r="12" spans="1:23">
      <c r="A12" t="s">
        <v>178</v>
      </c>
      <c r="B12" s="2">
        <v>45908</v>
      </c>
      <c r="C12" t="s">
        <v>41</v>
      </c>
      <c r="D12" t="s">
        <v>69</v>
      </c>
      <c r="E12" t="s">
        <v>24</v>
      </c>
      <c r="F12" t="s">
        <v>179</v>
      </c>
      <c r="G12" t="s">
        <v>180</v>
      </c>
      <c r="H12" t="s">
        <v>27</v>
      </c>
      <c r="I12" t="s">
        <v>157</v>
      </c>
      <c r="J12">
        <v>15</v>
      </c>
      <c r="K12" s="3">
        <v>12370</v>
      </c>
      <c r="L12" s="3">
        <v>185550</v>
      </c>
      <c r="M12" s="3">
        <v>114000</v>
      </c>
      <c r="N12" s="3">
        <v>71550</v>
      </c>
      <c r="O12" s="4">
        <v>0.385610347615198</v>
      </c>
      <c r="P12" t="s">
        <v>165</v>
      </c>
      <c r="Q12" t="s">
        <v>104</v>
      </c>
      <c r="R12" s="3">
        <v>208200</v>
      </c>
      <c r="S12" s="4">
        <v>0.891210374639769</v>
      </c>
      <c r="T12" s="4">
        <v>-0.0379627791549018</v>
      </c>
      <c r="U12" t="s">
        <v>116</v>
      </c>
      <c r="V12" s="4">
        <v>0.05</v>
      </c>
      <c r="W12">
        <v>4.1</v>
      </c>
    </row>
    <row r="13" spans="1:23">
      <c r="A13" t="s">
        <v>181</v>
      </c>
      <c r="B13" s="2">
        <v>45812</v>
      </c>
      <c r="C13" t="s">
        <v>38</v>
      </c>
      <c r="D13" t="s">
        <v>150</v>
      </c>
      <c r="E13" t="s">
        <v>28</v>
      </c>
      <c r="F13" t="s">
        <v>177</v>
      </c>
      <c r="G13" t="s">
        <v>168</v>
      </c>
      <c r="H13" t="s">
        <v>27</v>
      </c>
      <c r="I13" t="s">
        <v>157</v>
      </c>
      <c r="J13">
        <v>9</v>
      </c>
      <c r="K13" s="3">
        <v>12350</v>
      </c>
      <c r="L13" s="3">
        <v>111150</v>
      </c>
      <c r="M13" s="3">
        <v>68400</v>
      </c>
      <c r="N13" s="3">
        <v>42750</v>
      </c>
      <c r="O13" s="4">
        <v>0.384615384615385</v>
      </c>
      <c r="P13" t="s">
        <v>101</v>
      </c>
      <c r="Q13" t="s">
        <v>153</v>
      </c>
      <c r="R13" s="3">
        <v>102100</v>
      </c>
      <c r="S13" s="4">
        <v>1.08863858961802</v>
      </c>
      <c r="T13" s="4">
        <v>-0.0794302269731825</v>
      </c>
      <c r="U13" t="s">
        <v>116</v>
      </c>
      <c r="V13" s="4">
        <v>0</v>
      </c>
      <c r="W13">
        <v>4.3</v>
      </c>
    </row>
    <row r="14" spans="1:23">
      <c r="A14" t="s">
        <v>182</v>
      </c>
      <c r="B14" s="2">
        <v>45917</v>
      </c>
      <c r="C14" t="s">
        <v>41</v>
      </c>
      <c r="D14" t="s">
        <v>69</v>
      </c>
      <c r="E14" t="s">
        <v>29</v>
      </c>
      <c r="F14" t="s">
        <v>183</v>
      </c>
      <c r="G14" t="s">
        <v>164</v>
      </c>
      <c r="H14" t="s">
        <v>4</v>
      </c>
      <c r="I14" t="s">
        <v>184</v>
      </c>
      <c r="J14">
        <v>6</v>
      </c>
      <c r="K14" s="3">
        <v>13480</v>
      </c>
      <c r="L14" s="3">
        <v>80880</v>
      </c>
      <c r="M14" s="3">
        <v>49500</v>
      </c>
      <c r="N14" s="3">
        <v>31380</v>
      </c>
      <c r="O14" s="4">
        <v>0.387982195845697</v>
      </c>
      <c r="P14" t="s">
        <v>101</v>
      </c>
      <c r="Q14" t="s">
        <v>104</v>
      </c>
      <c r="R14" s="3">
        <v>81900</v>
      </c>
      <c r="S14" s="4">
        <v>0.987545787545788</v>
      </c>
      <c r="T14" s="4">
        <v>-0.0649673742609992</v>
      </c>
      <c r="U14" t="s">
        <v>116</v>
      </c>
      <c r="V14" s="4">
        <v>0</v>
      </c>
      <c r="W14">
        <v>3.6</v>
      </c>
    </row>
    <row r="15" spans="1:23">
      <c r="A15" t="s">
        <v>185</v>
      </c>
      <c r="B15" s="2">
        <v>45874</v>
      </c>
      <c r="C15" t="s">
        <v>40</v>
      </c>
      <c r="D15" t="s">
        <v>69</v>
      </c>
      <c r="E15" t="s">
        <v>24</v>
      </c>
      <c r="F15" t="s">
        <v>179</v>
      </c>
      <c r="G15" t="s">
        <v>161</v>
      </c>
      <c r="H15" t="s">
        <v>4</v>
      </c>
      <c r="I15" t="s">
        <v>184</v>
      </c>
      <c r="J15">
        <v>3</v>
      </c>
      <c r="K15" s="3">
        <v>13780</v>
      </c>
      <c r="L15" s="3">
        <v>41340</v>
      </c>
      <c r="M15" s="3">
        <v>24750</v>
      </c>
      <c r="N15" s="3">
        <v>16590</v>
      </c>
      <c r="O15" s="4">
        <v>0.401306240928882</v>
      </c>
      <c r="P15" t="s">
        <v>101</v>
      </c>
      <c r="Q15" t="s">
        <v>153</v>
      </c>
      <c r="R15" s="3">
        <v>38600</v>
      </c>
      <c r="S15" s="4">
        <v>1.07098445595855</v>
      </c>
      <c r="T15" s="4">
        <v>-0.0470000789485974</v>
      </c>
      <c r="U15" t="s">
        <v>116</v>
      </c>
      <c r="V15" s="4">
        <v>0</v>
      </c>
      <c r="W15">
        <v>3.7</v>
      </c>
    </row>
    <row r="16" spans="1:23">
      <c r="A16" t="s">
        <v>186</v>
      </c>
      <c r="B16" s="2">
        <v>45799</v>
      </c>
      <c r="C16" t="s">
        <v>37</v>
      </c>
      <c r="D16" t="s">
        <v>150</v>
      </c>
      <c r="E16" t="s">
        <v>28</v>
      </c>
      <c r="F16" t="s">
        <v>177</v>
      </c>
      <c r="G16" t="s">
        <v>156</v>
      </c>
      <c r="H16" t="s">
        <v>30</v>
      </c>
      <c r="I16" t="s">
        <v>81</v>
      </c>
      <c r="J16">
        <v>11</v>
      </c>
      <c r="K16" s="3">
        <v>2070</v>
      </c>
      <c r="L16" s="3">
        <v>22770</v>
      </c>
      <c r="M16" s="3">
        <v>10230</v>
      </c>
      <c r="N16" s="3">
        <v>12540</v>
      </c>
      <c r="O16" s="4">
        <v>0.550724637681159</v>
      </c>
      <c r="P16" t="s">
        <v>165</v>
      </c>
      <c r="Q16" t="s">
        <v>153</v>
      </c>
      <c r="R16" s="3">
        <v>20500</v>
      </c>
      <c r="S16" s="4">
        <v>1.11073170731707</v>
      </c>
      <c r="T16" s="4">
        <v>-0.0729801798000845</v>
      </c>
      <c r="U16" t="s">
        <v>116</v>
      </c>
      <c r="V16" s="4">
        <v>0.05</v>
      </c>
      <c r="W16">
        <v>3.9</v>
      </c>
    </row>
    <row r="17" spans="1:23">
      <c r="A17" t="s">
        <v>187</v>
      </c>
      <c r="B17" s="2">
        <v>45953</v>
      </c>
      <c r="C17" t="s">
        <v>42</v>
      </c>
      <c r="D17" t="s">
        <v>145</v>
      </c>
      <c r="E17" t="s">
        <v>29</v>
      </c>
      <c r="F17" t="s">
        <v>151</v>
      </c>
      <c r="G17" t="s">
        <v>76</v>
      </c>
      <c r="H17" t="s">
        <v>27</v>
      </c>
      <c r="I17" t="s">
        <v>157</v>
      </c>
      <c r="J17">
        <v>13</v>
      </c>
      <c r="K17" s="3">
        <v>12610</v>
      </c>
      <c r="L17" s="3">
        <v>163930</v>
      </c>
      <c r="M17" s="3">
        <v>98800</v>
      </c>
      <c r="N17" s="3">
        <v>65130</v>
      </c>
      <c r="O17" s="4">
        <v>0.397303727200634</v>
      </c>
      <c r="P17" t="s">
        <v>101</v>
      </c>
      <c r="Q17" t="s">
        <v>153</v>
      </c>
      <c r="R17" s="3">
        <v>177300</v>
      </c>
      <c r="S17" s="4">
        <v>0.924591088550479</v>
      </c>
      <c r="T17" s="4">
        <v>0.0328204423821297</v>
      </c>
      <c r="U17" t="s">
        <v>116</v>
      </c>
      <c r="V17" s="4">
        <v>0.03</v>
      </c>
      <c r="W17">
        <v>4.8</v>
      </c>
    </row>
    <row r="18" spans="1:23">
      <c r="A18" t="s">
        <v>188</v>
      </c>
      <c r="B18" s="2">
        <v>45701</v>
      </c>
      <c r="C18" t="s">
        <v>34</v>
      </c>
      <c r="D18" t="s">
        <v>159</v>
      </c>
      <c r="E18" t="s">
        <v>28</v>
      </c>
      <c r="F18" t="s">
        <v>167</v>
      </c>
      <c r="G18" t="s">
        <v>168</v>
      </c>
      <c r="H18" t="s">
        <v>4</v>
      </c>
      <c r="I18" t="s">
        <v>189</v>
      </c>
      <c r="J18">
        <v>8</v>
      </c>
      <c r="K18" s="3">
        <v>17310</v>
      </c>
      <c r="L18" s="3">
        <v>138480</v>
      </c>
      <c r="M18" s="3">
        <v>83200</v>
      </c>
      <c r="N18" s="3">
        <v>55280</v>
      </c>
      <c r="O18" s="4">
        <v>0.399191218948585</v>
      </c>
      <c r="P18" t="s">
        <v>101</v>
      </c>
      <c r="Q18" t="s">
        <v>153</v>
      </c>
      <c r="R18" s="3">
        <v>126000</v>
      </c>
      <c r="S18" s="4">
        <v>1.09904761904762</v>
      </c>
      <c r="T18" s="4">
        <v>0.0703913349264837</v>
      </c>
      <c r="U18" t="s">
        <v>116</v>
      </c>
      <c r="V18" s="4">
        <v>0</v>
      </c>
      <c r="W18">
        <v>4.1</v>
      </c>
    </row>
    <row r="19" spans="1:23">
      <c r="A19" t="s">
        <v>190</v>
      </c>
      <c r="B19" s="2">
        <v>45814</v>
      </c>
      <c r="C19" t="s">
        <v>38</v>
      </c>
      <c r="D19" t="s">
        <v>150</v>
      </c>
      <c r="E19" t="s">
        <v>24</v>
      </c>
      <c r="F19" t="s">
        <v>160</v>
      </c>
      <c r="G19" t="s">
        <v>180</v>
      </c>
      <c r="H19" t="s">
        <v>27</v>
      </c>
      <c r="I19" t="s">
        <v>148</v>
      </c>
      <c r="J19">
        <v>2</v>
      </c>
      <c r="K19" s="3">
        <v>21080</v>
      </c>
      <c r="L19" s="3">
        <v>42160</v>
      </c>
      <c r="M19" s="3">
        <v>27800</v>
      </c>
      <c r="N19" s="3">
        <v>14360</v>
      </c>
      <c r="O19" s="4">
        <v>0.340607210626186</v>
      </c>
      <c r="P19" t="s">
        <v>165</v>
      </c>
      <c r="Q19" t="s">
        <v>104</v>
      </c>
      <c r="R19" s="3">
        <v>48400</v>
      </c>
      <c r="S19" s="4">
        <v>0.871074380165289</v>
      </c>
      <c r="T19" s="4">
        <v>0.0716885074785591</v>
      </c>
      <c r="U19" t="s">
        <v>116</v>
      </c>
      <c r="V19" s="4">
        <v>0</v>
      </c>
      <c r="W19">
        <v>3.9</v>
      </c>
    </row>
    <row r="20" spans="1:23">
      <c r="A20" t="s">
        <v>191</v>
      </c>
      <c r="B20" s="2">
        <v>45941</v>
      </c>
      <c r="C20" t="s">
        <v>42</v>
      </c>
      <c r="D20" t="s">
        <v>145</v>
      </c>
      <c r="E20" t="s">
        <v>28</v>
      </c>
      <c r="F20" t="s">
        <v>167</v>
      </c>
      <c r="G20" t="s">
        <v>168</v>
      </c>
      <c r="H20" t="s">
        <v>30</v>
      </c>
      <c r="I20" t="s">
        <v>81</v>
      </c>
      <c r="J20">
        <v>3</v>
      </c>
      <c r="K20" s="3">
        <v>2130</v>
      </c>
      <c r="L20" s="3">
        <v>6390</v>
      </c>
      <c r="M20" s="3">
        <v>2790</v>
      </c>
      <c r="N20" s="3">
        <v>3600</v>
      </c>
      <c r="O20" s="4">
        <v>0.563380281690141</v>
      </c>
      <c r="P20" t="s">
        <v>165</v>
      </c>
      <c r="Q20" t="s">
        <v>153</v>
      </c>
      <c r="R20" s="3">
        <v>7300</v>
      </c>
      <c r="S20" s="4">
        <v>0.875342465753425</v>
      </c>
      <c r="T20" s="4">
        <v>0.00940100682079557</v>
      </c>
      <c r="U20" t="s">
        <v>116</v>
      </c>
      <c r="V20" s="4">
        <v>0</v>
      </c>
      <c r="W20">
        <v>3.8</v>
      </c>
    </row>
    <row r="21" spans="1:23">
      <c r="A21" t="s">
        <v>192</v>
      </c>
      <c r="B21" s="2">
        <v>45659</v>
      </c>
      <c r="C21" t="s">
        <v>33</v>
      </c>
      <c r="D21" t="s">
        <v>159</v>
      </c>
      <c r="E21" t="s">
        <v>24</v>
      </c>
      <c r="F21" t="s">
        <v>160</v>
      </c>
      <c r="G21" t="s">
        <v>161</v>
      </c>
      <c r="H21" t="s">
        <v>30</v>
      </c>
      <c r="I21" t="s">
        <v>81</v>
      </c>
      <c r="J21">
        <v>15</v>
      </c>
      <c r="K21" s="3">
        <v>2100</v>
      </c>
      <c r="L21" s="3">
        <v>31500</v>
      </c>
      <c r="M21" s="3">
        <v>13950</v>
      </c>
      <c r="N21" s="3">
        <v>17550</v>
      </c>
      <c r="O21" s="4">
        <v>0.557142857142857</v>
      </c>
      <c r="P21" t="s">
        <v>165</v>
      </c>
      <c r="Q21" t="s">
        <v>104</v>
      </c>
      <c r="R21" s="3">
        <v>30700</v>
      </c>
      <c r="S21" s="4">
        <v>1.02605863192182</v>
      </c>
      <c r="T21" s="4">
        <v>-0.0364284126884089</v>
      </c>
      <c r="U21" t="s">
        <v>193</v>
      </c>
      <c r="V21" s="4">
        <v>0</v>
      </c>
      <c r="W21">
        <v>3.6</v>
      </c>
    </row>
    <row r="22" spans="1:23">
      <c r="A22" t="s">
        <v>194</v>
      </c>
      <c r="B22" s="2">
        <v>45748</v>
      </c>
      <c r="C22" t="s">
        <v>36</v>
      </c>
      <c r="D22" t="s">
        <v>150</v>
      </c>
      <c r="E22" t="s">
        <v>26</v>
      </c>
      <c r="F22" t="s">
        <v>146</v>
      </c>
      <c r="G22" t="s">
        <v>147</v>
      </c>
      <c r="H22" t="s">
        <v>4</v>
      </c>
      <c r="I22" t="s">
        <v>184</v>
      </c>
      <c r="J22">
        <v>7</v>
      </c>
      <c r="K22" s="3">
        <v>12720</v>
      </c>
      <c r="L22" s="3">
        <v>89040</v>
      </c>
      <c r="M22" s="3">
        <v>57750</v>
      </c>
      <c r="N22" s="3">
        <v>31290</v>
      </c>
      <c r="O22" s="4">
        <v>0.351415094339623</v>
      </c>
      <c r="P22" t="s">
        <v>101</v>
      </c>
      <c r="Q22" t="s">
        <v>153</v>
      </c>
      <c r="R22" s="3">
        <v>92900</v>
      </c>
      <c r="S22" s="4">
        <v>0.958449946178687</v>
      </c>
      <c r="T22" s="4">
        <v>-0.0303493851835493</v>
      </c>
      <c r="U22" t="s">
        <v>116</v>
      </c>
      <c r="V22" s="4">
        <v>0.03</v>
      </c>
      <c r="W22">
        <v>3.5</v>
      </c>
    </row>
    <row r="23" spans="1:23">
      <c r="A23" t="s">
        <v>195</v>
      </c>
      <c r="B23" s="2">
        <v>46009</v>
      </c>
      <c r="C23" t="s">
        <v>44</v>
      </c>
      <c r="D23" t="s">
        <v>145</v>
      </c>
      <c r="E23" t="s">
        <v>24</v>
      </c>
      <c r="F23" t="s">
        <v>196</v>
      </c>
      <c r="G23" t="s">
        <v>180</v>
      </c>
      <c r="H23" t="s">
        <v>4</v>
      </c>
      <c r="I23" t="s">
        <v>172</v>
      </c>
      <c r="J23">
        <v>9</v>
      </c>
      <c r="K23" s="3">
        <v>11400</v>
      </c>
      <c r="L23" s="3">
        <v>102600</v>
      </c>
      <c r="M23" s="3">
        <v>63900</v>
      </c>
      <c r="N23" s="3">
        <v>38700</v>
      </c>
      <c r="O23" s="4">
        <v>0.37719298245614</v>
      </c>
      <c r="P23" t="s">
        <v>165</v>
      </c>
      <c r="Q23" t="s">
        <v>153</v>
      </c>
      <c r="R23" s="3">
        <v>120500</v>
      </c>
      <c r="S23" s="4">
        <v>0.851452282157676</v>
      </c>
      <c r="T23" s="4">
        <v>-0.053370544031345</v>
      </c>
      <c r="U23" t="s">
        <v>116</v>
      </c>
      <c r="V23" s="4">
        <v>0.03</v>
      </c>
      <c r="W23">
        <v>4.6</v>
      </c>
    </row>
    <row r="24" spans="1:23">
      <c r="A24" t="s">
        <v>197</v>
      </c>
      <c r="B24" s="2">
        <v>45756</v>
      </c>
      <c r="C24" t="s">
        <v>36</v>
      </c>
      <c r="D24" t="s">
        <v>150</v>
      </c>
      <c r="E24" t="s">
        <v>29</v>
      </c>
      <c r="F24" t="s">
        <v>151</v>
      </c>
      <c r="G24" t="s">
        <v>76</v>
      </c>
      <c r="H24" t="s">
        <v>27</v>
      </c>
      <c r="I24" t="s">
        <v>162</v>
      </c>
      <c r="J24">
        <v>4</v>
      </c>
      <c r="K24" s="3">
        <v>19740</v>
      </c>
      <c r="L24" s="3">
        <v>78960</v>
      </c>
      <c r="M24" s="3">
        <v>50400</v>
      </c>
      <c r="N24" s="3">
        <v>28560</v>
      </c>
      <c r="O24" s="4">
        <v>0.361702127659574</v>
      </c>
      <c r="P24" t="s">
        <v>165</v>
      </c>
      <c r="Q24" t="s">
        <v>104</v>
      </c>
      <c r="R24" s="3">
        <v>75300</v>
      </c>
      <c r="S24" s="4">
        <v>1.04860557768924</v>
      </c>
      <c r="T24" s="4">
        <v>-0.0618859139634246</v>
      </c>
      <c r="U24" t="s">
        <v>116</v>
      </c>
      <c r="V24" s="4">
        <v>0.03</v>
      </c>
      <c r="W24">
        <v>3.7</v>
      </c>
    </row>
    <row r="25" spans="1:23">
      <c r="A25" t="s">
        <v>198</v>
      </c>
      <c r="B25" s="2">
        <v>45994</v>
      </c>
      <c r="C25" t="s">
        <v>44</v>
      </c>
      <c r="D25" t="s">
        <v>145</v>
      </c>
      <c r="E25" t="s">
        <v>28</v>
      </c>
      <c r="F25" t="s">
        <v>177</v>
      </c>
      <c r="G25" t="s">
        <v>156</v>
      </c>
      <c r="H25" t="s">
        <v>30</v>
      </c>
      <c r="I25" t="s">
        <v>169</v>
      </c>
      <c r="J25">
        <v>3</v>
      </c>
      <c r="K25" s="3">
        <v>3700</v>
      </c>
      <c r="L25" s="3">
        <v>11100</v>
      </c>
      <c r="M25" s="3">
        <v>5280</v>
      </c>
      <c r="N25" s="3">
        <v>5820</v>
      </c>
      <c r="O25" s="4">
        <v>0.524324324324324</v>
      </c>
      <c r="P25" t="s">
        <v>101</v>
      </c>
      <c r="Q25" t="s">
        <v>104</v>
      </c>
      <c r="R25" s="3">
        <v>11400</v>
      </c>
      <c r="S25" s="4">
        <v>0.973684210526316</v>
      </c>
      <c r="T25" s="4">
        <v>0.0398405851204595</v>
      </c>
      <c r="U25" t="s">
        <v>116</v>
      </c>
      <c r="V25" s="4">
        <v>0.03</v>
      </c>
      <c r="W25">
        <v>4.4</v>
      </c>
    </row>
    <row r="26" spans="1:23">
      <c r="A26" t="s">
        <v>199</v>
      </c>
      <c r="B26" s="2">
        <v>45799</v>
      </c>
      <c r="C26" t="s">
        <v>37</v>
      </c>
      <c r="D26" t="s">
        <v>150</v>
      </c>
      <c r="E26" t="s">
        <v>28</v>
      </c>
      <c r="F26" t="s">
        <v>177</v>
      </c>
      <c r="G26" t="s">
        <v>168</v>
      </c>
      <c r="H26" t="s">
        <v>27</v>
      </c>
      <c r="I26" t="s">
        <v>157</v>
      </c>
      <c r="J26">
        <v>5</v>
      </c>
      <c r="K26" s="3">
        <v>11370</v>
      </c>
      <c r="L26" s="3">
        <v>56850</v>
      </c>
      <c r="M26" s="3">
        <v>38000</v>
      </c>
      <c r="N26" s="3">
        <v>18850</v>
      </c>
      <c r="O26" s="4">
        <v>0.331574318381706</v>
      </c>
      <c r="P26" t="s">
        <v>101</v>
      </c>
      <c r="Q26" t="s">
        <v>104</v>
      </c>
      <c r="R26" s="3">
        <v>56500</v>
      </c>
      <c r="S26" s="4">
        <v>1.00619469026549</v>
      </c>
      <c r="T26" s="4">
        <v>0.000555767740580429</v>
      </c>
      <c r="U26" t="s">
        <v>116</v>
      </c>
      <c r="V26" s="4">
        <v>0.08</v>
      </c>
      <c r="W26">
        <v>4.1</v>
      </c>
    </row>
    <row r="27" spans="1:23">
      <c r="A27" t="s">
        <v>200</v>
      </c>
      <c r="B27" s="2">
        <v>45853</v>
      </c>
      <c r="C27" t="s">
        <v>39</v>
      </c>
      <c r="D27" t="s">
        <v>69</v>
      </c>
      <c r="E27" t="s">
        <v>28</v>
      </c>
      <c r="F27" t="s">
        <v>177</v>
      </c>
      <c r="G27" t="s">
        <v>156</v>
      </c>
      <c r="H27" t="s">
        <v>4</v>
      </c>
      <c r="I27" t="s">
        <v>184</v>
      </c>
      <c r="J27">
        <v>9</v>
      </c>
      <c r="K27" s="3">
        <v>12370</v>
      </c>
      <c r="L27" s="3">
        <v>111330</v>
      </c>
      <c r="M27" s="3">
        <v>74250</v>
      </c>
      <c r="N27" s="3">
        <v>37080</v>
      </c>
      <c r="O27" s="4">
        <v>0.333063864187551</v>
      </c>
      <c r="P27" t="s">
        <v>101</v>
      </c>
      <c r="Q27" t="s">
        <v>153</v>
      </c>
      <c r="R27" s="3">
        <v>122500</v>
      </c>
      <c r="S27" s="4">
        <v>0.908816326530612</v>
      </c>
      <c r="T27" s="4">
        <v>0.119907658513372</v>
      </c>
      <c r="U27" t="s">
        <v>116</v>
      </c>
      <c r="V27" s="4">
        <v>0.08</v>
      </c>
      <c r="W27">
        <v>3.6</v>
      </c>
    </row>
    <row r="28" spans="1:23">
      <c r="A28" t="s">
        <v>201</v>
      </c>
      <c r="B28" s="2">
        <v>46022</v>
      </c>
      <c r="C28" t="s">
        <v>44</v>
      </c>
      <c r="D28" t="s">
        <v>145</v>
      </c>
      <c r="E28" t="s">
        <v>24</v>
      </c>
      <c r="F28" t="s">
        <v>196</v>
      </c>
      <c r="G28" t="s">
        <v>161</v>
      </c>
      <c r="H28" t="s">
        <v>25</v>
      </c>
      <c r="I28" t="s">
        <v>152</v>
      </c>
      <c r="J28">
        <v>13</v>
      </c>
      <c r="K28" s="3">
        <v>24960</v>
      </c>
      <c r="L28" s="3">
        <v>324480</v>
      </c>
      <c r="M28" s="3">
        <v>239200</v>
      </c>
      <c r="N28" s="3">
        <v>85280</v>
      </c>
      <c r="O28" s="4">
        <v>0.262820512820513</v>
      </c>
      <c r="P28" t="s">
        <v>101</v>
      </c>
      <c r="Q28" t="s">
        <v>104</v>
      </c>
      <c r="R28" s="3">
        <v>375500</v>
      </c>
      <c r="S28" s="4">
        <v>0.864127829560586</v>
      </c>
      <c r="T28" s="4">
        <v>-0.0628777656365297</v>
      </c>
      <c r="U28" t="s">
        <v>116</v>
      </c>
      <c r="V28" s="4">
        <v>0.05</v>
      </c>
      <c r="W28">
        <v>5</v>
      </c>
    </row>
    <row r="29" spans="1:23">
      <c r="A29" t="s">
        <v>202</v>
      </c>
      <c r="B29" s="2">
        <v>45874</v>
      </c>
      <c r="C29" t="s">
        <v>40</v>
      </c>
      <c r="D29" t="s">
        <v>69</v>
      </c>
      <c r="E29" t="s">
        <v>26</v>
      </c>
      <c r="F29" t="s">
        <v>171</v>
      </c>
      <c r="G29" t="s">
        <v>147</v>
      </c>
      <c r="H29" t="s">
        <v>4</v>
      </c>
      <c r="I29" t="s">
        <v>184</v>
      </c>
      <c r="J29">
        <v>11</v>
      </c>
      <c r="K29" s="3">
        <v>13420</v>
      </c>
      <c r="L29" s="3">
        <v>147620</v>
      </c>
      <c r="M29" s="3">
        <v>90750</v>
      </c>
      <c r="N29" s="3">
        <v>56870</v>
      </c>
      <c r="O29" s="4">
        <v>0.385245901639344</v>
      </c>
      <c r="P29" t="s">
        <v>165</v>
      </c>
      <c r="Q29" t="s">
        <v>153</v>
      </c>
      <c r="R29" s="3">
        <v>156600</v>
      </c>
      <c r="S29" s="4">
        <v>0.942656449553001</v>
      </c>
      <c r="T29" s="4">
        <v>-0.0116642967309123</v>
      </c>
      <c r="U29" t="s">
        <v>116</v>
      </c>
      <c r="V29" s="4">
        <v>0</v>
      </c>
      <c r="W29">
        <v>4.8</v>
      </c>
    </row>
    <row r="30" spans="1:23">
      <c r="A30" t="s">
        <v>203</v>
      </c>
      <c r="B30" s="2">
        <v>45772</v>
      </c>
      <c r="C30" t="s">
        <v>36</v>
      </c>
      <c r="D30" t="s">
        <v>150</v>
      </c>
      <c r="E30" t="s">
        <v>24</v>
      </c>
      <c r="F30" t="s">
        <v>179</v>
      </c>
      <c r="G30" t="s">
        <v>180</v>
      </c>
      <c r="H30" t="s">
        <v>25</v>
      </c>
      <c r="I30" t="s">
        <v>152</v>
      </c>
      <c r="J30">
        <v>7</v>
      </c>
      <c r="K30" s="3">
        <v>24780</v>
      </c>
      <c r="L30" s="3">
        <v>173460</v>
      </c>
      <c r="M30" s="3">
        <v>128800</v>
      </c>
      <c r="N30" s="3">
        <v>44660</v>
      </c>
      <c r="O30" s="4">
        <v>0.257465698143664</v>
      </c>
      <c r="P30" t="s">
        <v>165</v>
      </c>
      <c r="Q30" t="s">
        <v>104</v>
      </c>
      <c r="R30" s="3">
        <v>175500</v>
      </c>
      <c r="S30" s="4">
        <v>0.988376068376068</v>
      </c>
      <c r="T30" s="4">
        <v>0.0455912378763158</v>
      </c>
      <c r="U30" t="s">
        <v>116</v>
      </c>
      <c r="V30" s="4">
        <v>0.08</v>
      </c>
      <c r="W30">
        <v>3.7</v>
      </c>
    </row>
    <row r="31" spans="1:23">
      <c r="A31" t="s">
        <v>204</v>
      </c>
      <c r="B31" s="2">
        <v>45814</v>
      </c>
      <c r="C31" t="s">
        <v>38</v>
      </c>
      <c r="D31" t="s">
        <v>150</v>
      </c>
      <c r="E31" t="s">
        <v>24</v>
      </c>
      <c r="F31" t="s">
        <v>160</v>
      </c>
      <c r="G31" t="s">
        <v>161</v>
      </c>
      <c r="H31" t="s">
        <v>4</v>
      </c>
      <c r="I31" t="s">
        <v>172</v>
      </c>
      <c r="J31">
        <v>9</v>
      </c>
      <c r="K31" s="3">
        <v>11170</v>
      </c>
      <c r="L31" s="3">
        <v>100530</v>
      </c>
      <c r="M31" s="3">
        <v>63900</v>
      </c>
      <c r="N31" s="3">
        <v>36630</v>
      </c>
      <c r="O31" s="4">
        <v>0.364368845120859</v>
      </c>
      <c r="P31" t="s">
        <v>101</v>
      </c>
      <c r="Q31" t="s">
        <v>104</v>
      </c>
      <c r="R31" s="3">
        <v>108700</v>
      </c>
      <c r="S31" s="4">
        <v>0.924839006439742</v>
      </c>
      <c r="T31" s="4">
        <v>0.175726135263641</v>
      </c>
      <c r="U31" t="s">
        <v>116</v>
      </c>
      <c r="V31" s="4">
        <v>0.03</v>
      </c>
      <c r="W31">
        <v>3.8</v>
      </c>
    </row>
    <row r="32" spans="1:23">
      <c r="A32" t="s">
        <v>205</v>
      </c>
      <c r="B32" s="2">
        <v>45686</v>
      </c>
      <c r="C32" t="s">
        <v>33</v>
      </c>
      <c r="D32" t="s">
        <v>159</v>
      </c>
      <c r="E32" t="s">
        <v>26</v>
      </c>
      <c r="F32" t="s">
        <v>146</v>
      </c>
      <c r="G32" t="s">
        <v>147</v>
      </c>
      <c r="H32" t="s">
        <v>4</v>
      </c>
      <c r="I32" t="s">
        <v>189</v>
      </c>
      <c r="J32">
        <v>7</v>
      </c>
      <c r="K32" s="3">
        <v>15450</v>
      </c>
      <c r="L32" s="3">
        <v>108150</v>
      </c>
      <c r="M32" s="3">
        <v>72800</v>
      </c>
      <c r="N32" s="3">
        <v>35350</v>
      </c>
      <c r="O32" s="4">
        <v>0.326860841423948</v>
      </c>
      <c r="P32" t="s">
        <v>165</v>
      </c>
      <c r="Q32" t="s">
        <v>104</v>
      </c>
      <c r="R32" s="3">
        <v>111200</v>
      </c>
      <c r="S32" s="4">
        <v>0.972571942446043</v>
      </c>
      <c r="T32" s="4">
        <v>0.002992594747545</v>
      </c>
      <c r="U32" t="s">
        <v>116</v>
      </c>
      <c r="V32" s="4">
        <v>0.05</v>
      </c>
      <c r="W32">
        <v>4.4</v>
      </c>
    </row>
    <row r="33" spans="1:23">
      <c r="A33" t="s">
        <v>206</v>
      </c>
      <c r="B33" s="2">
        <v>45787</v>
      </c>
      <c r="C33" t="s">
        <v>37</v>
      </c>
      <c r="D33" t="s">
        <v>150</v>
      </c>
      <c r="E33" t="s">
        <v>24</v>
      </c>
      <c r="F33" t="s">
        <v>179</v>
      </c>
      <c r="G33" t="s">
        <v>161</v>
      </c>
      <c r="H33" t="s">
        <v>25</v>
      </c>
      <c r="I33" t="s">
        <v>207</v>
      </c>
      <c r="J33">
        <v>7</v>
      </c>
      <c r="K33" s="3">
        <v>70040</v>
      </c>
      <c r="L33" s="3">
        <v>490280</v>
      </c>
      <c r="M33" s="3">
        <v>367500</v>
      </c>
      <c r="N33" s="3">
        <v>122780</v>
      </c>
      <c r="O33" s="4">
        <v>0.250428326670474</v>
      </c>
      <c r="P33" t="s">
        <v>101</v>
      </c>
      <c r="Q33" t="s">
        <v>104</v>
      </c>
      <c r="R33" s="3">
        <v>553300</v>
      </c>
      <c r="S33" s="4">
        <v>0.886101572383879</v>
      </c>
      <c r="T33" s="4">
        <v>0.182887739194939</v>
      </c>
      <c r="U33" t="s">
        <v>116</v>
      </c>
      <c r="V33" s="4">
        <v>0.05</v>
      </c>
      <c r="W33">
        <v>4.5</v>
      </c>
    </row>
    <row r="34" spans="1:23">
      <c r="A34" t="s">
        <v>208</v>
      </c>
      <c r="B34" s="2">
        <v>45742</v>
      </c>
      <c r="C34" t="s">
        <v>35</v>
      </c>
      <c r="D34" t="s">
        <v>159</v>
      </c>
      <c r="E34" t="s">
        <v>24</v>
      </c>
      <c r="F34" t="s">
        <v>179</v>
      </c>
      <c r="G34" t="s">
        <v>180</v>
      </c>
      <c r="H34" t="s">
        <v>4</v>
      </c>
      <c r="I34" t="s">
        <v>189</v>
      </c>
      <c r="J34">
        <v>11</v>
      </c>
      <c r="K34" s="3">
        <v>16410</v>
      </c>
      <c r="L34" s="3">
        <v>180510</v>
      </c>
      <c r="M34" s="3">
        <v>114400</v>
      </c>
      <c r="N34" s="3">
        <v>66110</v>
      </c>
      <c r="O34" s="4">
        <v>0.366240097501523</v>
      </c>
      <c r="P34" t="s">
        <v>165</v>
      </c>
      <c r="Q34" t="s">
        <v>104</v>
      </c>
      <c r="R34" s="3">
        <v>202800</v>
      </c>
      <c r="S34" s="4">
        <v>0.89008875739645</v>
      </c>
      <c r="T34" s="4">
        <v>0.0127825115403316</v>
      </c>
      <c r="U34" t="s">
        <v>116</v>
      </c>
      <c r="V34" s="4">
        <v>0</v>
      </c>
      <c r="W34">
        <v>4.6</v>
      </c>
    </row>
    <row r="35" spans="1:23">
      <c r="A35" t="s">
        <v>209</v>
      </c>
      <c r="B35" s="2">
        <v>45665</v>
      </c>
      <c r="C35" t="s">
        <v>33</v>
      </c>
      <c r="D35" t="s">
        <v>159</v>
      </c>
      <c r="E35" t="s">
        <v>24</v>
      </c>
      <c r="F35" t="s">
        <v>196</v>
      </c>
      <c r="G35" t="s">
        <v>180</v>
      </c>
      <c r="H35" t="s">
        <v>30</v>
      </c>
      <c r="I35" t="s">
        <v>169</v>
      </c>
      <c r="J35">
        <v>12</v>
      </c>
      <c r="K35" s="3">
        <v>3710</v>
      </c>
      <c r="L35" s="3">
        <v>44520</v>
      </c>
      <c r="M35" s="3">
        <v>21120</v>
      </c>
      <c r="N35" s="3">
        <v>23400</v>
      </c>
      <c r="O35" s="4">
        <v>0.525606469002695</v>
      </c>
      <c r="P35" t="s">
        <v>101</v>
      </c>
      <c r="Q35" t="s">
        <v>104</v>
      </c>
      <c r="R35" s="3">
        <v>45100</v>
      </c>
      <c r="S35" s="4">
        <v>0.987139689578714</v>
      </c>
      <c r="T35" s="4">
        <v>-0.0692193295868308</v>
      </c>
      <c r="U35" t="s">
        <v>116</v>
      </c>
      <c r="V35" s="4">
        <v>0.05</v>
      </c>
      <c r="W35">
        <v>4</v>
      </c>
    </row>
    <row r="36" spans="1:23">
      <c r="A36" t="s">
        <v>210</v>
      </c>
      <c r="B36" s="2">
        <v>45740</v>
      </c>
      <c r="C36" t="s">
        <v>35</v>
      </c>
      <c r="D36" t="s">
        <v>159</v>
      </c>
      <c r="E36" t="s">
        <v>28</v>
      </c>
      <c r="F36" t="s">
        <v>177</v>
      </c>
      <c r="G36" t="s">
        <v>168</v>
      </c>
      <c r="H36" t="s">
        <v>4</v>
      </c>
      <c r="I36" t="s">
        <v>189</v>
      </c>
      <c r="J36">
        <v>4</v>
      </c>
      <c r="K36" s="3">
        <v>16930</v>
      </c>
      <c r="L36" s="3">
        <v>67720</v>
      </c>
      <c r="M36" s="3">
        <v>41600</v>
      </c>
      <c r="N36" s="3">
        <v>26120</v>
      </c>
      <c r="O36" s="4">
        <v>0.385705847607797</v>
      </c>
      <c r="P36" t="s">
        <v>101</v>
      </c>
      <c r="Q36" t="s">
        <v>153</v>
      </c>
      <c r="R36" s="3">
        <v>74900</v>
      </c>
      <c r="S36" s="4">
        <v>0.904138851802403</v>
      </c>
      <c r="T36" s="4">
        <v>0.195501838354155</v>
      </c>
      <c r="U36" t="s">
        <v>211</v>
      </c>
      <c r="V36" s="4">
        <v>0</v>
      </c>
      <c r="W36">
        <v>3.9</v>
      </c>
    </row>
    <row r="37" spans="1:23">
      <c r="A37" t="s">
        <v>212</v>
      </c>
      <c r="B37" s="2">
        <v>45671</v>
      </c>
      <c r="C37" t="s">
        <v>33</v>
      </c>
      <c r="D37" t="s">
        <v>159</v>
      </c>
      <c r="E37" t="s">
        <v>28</v>
      </c>
      <c r="F37" t="s">
        <v>177</v>
      </c>
      <c r="G37" t="s">
        <v>168</v>
      </c>
      <c r="H37" t="s">
        <v>27</v>
      </c>
      <c r="I37" t="s">
        <v>162</v>
      </c>
      <c r="J37">
        <v>12</v>
      </c>
      <c r="K37" s="3">
        <v>20080</v>
      </c>
      <c r="L37" s="3">
        <v>240960</v>
      </c>
      <c r="M37" s="3">
        <v>151200</v>
      </c>
      <c r="N37" s="3">
        <v>89760</v>
      </c>
      <c r="O37" s="4">
        <v>0.372509960159363</v>
      </c>
      <c r="P37" t="s">
        <v>165</v>
      </c>
      <c r="Q37" t="s">
        <v>153</v>
      </c>
      <c r="R37" s="3">
        <v>227600</v>
      </c>
      <c r="S37" s="4">
        <v>1.05869947275923</v>
      </c>
      <c r="T37" s="4">
        <v>-0.0342164715313044</v>
      </c>
      <c r="U37" t="s">
        <v>116</v>
      </c>
      <c r="V37" s="4">
        <v>0</v>
      </c>
      <c r="W37">
        <v>4.2</v>
      </c>
    </row>
    <row r="38" spans="1:23">
      <c r="A38" t="s">
        <v>213</v>
      </c>
      <c r="B38" s="2">
        <v>45937</v>
      </c>
      <c r="C38" t="s">
        <v>42</v>
      </c>
      <c r="D38" t="s">
        <v>145</v>
      </c>
      <c r="E38" t="s">
        <v>24</v>
      </c>
      <c r="F38" t="s">
        <v>160</v>
      </c>
      <c r="G38" t="s">
        <v>161</v>
      </c>
      <c r="H38" t="s">
        <v>27</v>
      </c>
      <c r="I38" t="s">
        <v>157</v>
      </c>
      <c r="J38">
        <v>3</v>
      </c>
      <c r="K38" s="3">
        <v>12640</v>
      </c>
      <c r="L38" s="3">
        <v>37920</v>
      </c>
      <c r="M38" s="3">
        <v>22800</v>
      </c>
      <c r="N38" s="3">
        <v>15120</v>
      </c>
      <c r="O38" s="4">
        <v>0.39873417721519</v>
      </c>
      <c r="P38" t="s">
        <v>101</v>
      </c>
      <c r="Q38" t="s">
        <v>104</v>
      </c>
      <c r="R38" s="3">
        <v>41700</v>
      </c>
      <c r="S38" s="4">
        <v>0.909352517985612</v>
      </c>
      <c r="T38" s="4">
        <v>-0.0644919066213836</v>
      </c>
      <c r="U38" t="s">
        <v>211</v>
      </c>
      <c r="V38" s="4">
        <v>0</v>
      </c>
      <c r="W38">
        <v>4.6</v>
      </c>
    </row>
    <row r="39" spans="1:23">
      <c r="A39" t="s">
        <v>214</v>
      </c>
      <c r="B39" s="2">
        <v>45675</v>
      </c>
      <c r="C39" t="s">
        <v>33</v>
      </c>
      <c r="D39" t="s">
        <v>159</v>
      </c>
      <c r="E39" t="s">
        <v>26</v>
      </c>
      <c r="F39" t="s">
        <v>174</v>
      </c>
      <c r="G39" t="s">
        <v>175</v>
      </c>
      <c r="H39" t="s">
        <v>4</v>
      </c>
      <c r="I39" t="s">
        <v>184</v>
      </c>
      <c r="J39">
        <v>5</v>
      </c>
      <c r="K39" s="3">
        <v>12980</v>
      </c>
      <c r="L39" s="3">
        <v>64900</v>
      </c>
      <c r="M39" s="3">
        <v>41250</v>
      </c>
      <c r="N39" s="3">
        <v>23650</v>
      </c>
      <c r="O39" s="4">
        <v>0.364406779661017</v>
      </c>
      <c r="P39" t="s">
        <v>165</v>
      </c>
      <c r="Q39" t="s">
        <v>153</v>
      </c>
      <c r="R39" s="3">
        <v>59300</v>
      </c>
      <c r="S39" s="4">
        <v>1.09443507588533</v>
      </c>
      <c r="T39" s="4">
        <v>0.041180736135906</v>
      </c>
      <c r="U39" t="s">
        <v>116</v>
      </c>
      <c r="V39" s="4">
        <v>0.03</v>
      </c>
      <c r="W39">
        <v>4</v>
      </c>
    </row>
    <row r="40" spans="1:23">
      <c r="A40" t="s">
        <v>215</v>
      </c>
      <c r="B40" s="2">
        <v>45892</v>
      </c>
      <c r="C40" t="s">
        <v>40</v>
      </c>
      <c r="D40" t="s">
        <v>69</v>
      </c>
      <c r="E40" t="s">
        <v>24</v>
      </c>
      <c r="F40" t="s">
        <v>179</v>
      </c>
      <c r="G40" t="s">
        <v>161</v>
      </c>
      <c r="H40" t="s">
        <v>30</v>
      </c>
      <c r="I40" t="s">
        <v>216</v>
      </c>
      <c r="J40">
        <v>9</v>
      </c>
      <c r="K40" s="3">
        <v>5520</v>
      </c>
      <c r="L40" s="3">
        <v>49680</v>
      </c>
      <c r="M40" s="3">
        <v>26280</v>
      </c>
      <c r="N40" s="3">
        <v>23400</v>
      </c>
      <c r="O40" s="4">
        <v>0.471014492753623</v>
      </c>
      <c r="P40" t="s">
        <v>165</v>
      </c>
      <c r="Q40" t="s">
        <v>104</v>
      </c>
      <c r="R40" s="3">
        <v>54000</v>
      </c>
      <c r="S40" s="4">
        <v>0.92</v>
      </c>
      <c r="T40" s="4">
        <v>-0.0784644166718808</v>
      </c>
      <c r="U40" t="s">
        <v>116</v>
      </c>
      <c r="V40" s="4">
        <v>0.03</v>
      </c>
      <c r="W40">
        <v>4.4</v>
      </c>
    </row>
    <row r="41" spans="1:23">
      <c r="A41" t="s">
        <v>217</v>
      </c>
      <c r="B41" s="2">
        <v>45858</v>
      </c>
      <c r="C41" t="s">
        <v>39</v>
      </c>
      <c r="D41" t="s">
        <v>69</v>
      </c>
      <c r="E41" t="s">
        <v>29</v>
      </c>
      <c r="F41" t="s">
        <v>183</v>
      </c>
      <c r="G41" t="s">
        <v>164</v>
      </c>
      <c r="H41" t="s">
        <v>25</v>
      </c>
      <c r="I41" t="s">
        <v>218</v>
      </c>
      <c r="J41">
        <v>3</v>
      </c>
      <c r="K41" s="3">
        <v>30330</v>
      </c>
      <c r="L41" s="3">
        <v>90990</v>
      </c>
      <c r="M41" s="3">
        <v>68400</v>
      </c>
      <c r="N41" s="3">
        <v>22590</v>
      </c>
      <c r="O41" s="4">
        <v>0.248269040553907</v>
      </c>
      <c r="P41" t="s">
        <v>101</v>
      </c>
      <c r="Q41" t="s">
        <v>153</v>
      </c>
      <c r="R41" s="3">
        <v>101300</v>
      </c>
      <c r="S41" s="4">
        <v>0.89822309970385</v>
      </c>
      <c r="T41" s="4">
        <v>-0.0566933769850846</v>
      </c>
      <c r="U41" t="s">
        <v>116</v>
      </c>
      <c r="V41" s="4">
        <v>0.05</v>
      </c>
      <c r="W41">
        <v>4.8</v>
      </c>
    </row>
    <row r="42" spans="1:23">
      <c r="A42" t="s">
        <v>219</v>
      </c>
      <c r="B42" s="2">
        <v>45910</v>
      </c>
      <c r="C42" t="s">
        <v>41</v>
      </c>
      <c r="D42" t="s">
        <v>69</v>
      </c>
      <c r="E42" t="s">
        <v>29</v>
      </c>
      <c r="F42" t="s">
        <v>183</v>
      </c>
      <c r="G42" t="s">
        <v>76</v>
      </c>
      <c r="H42" t="s">
        <v>25</v>
      </c>
      <c r="I42" t="s">
        <v>218</v>
      </c>
      <c r="J42">
        <v>1</v>
      </c>
      <c r="K42" s="3">
        <v>28790</v>
      </c>
      <c r="L42" s="3">
        <v>28790</v>
      </c>
      <c r="M42" s="3">
        <v>22800</v>
      </c>
      <c r="N42" s="3">
        <v>5990</v>
      </c>
      <c r="O42" s="4">
        <v>0.208058353594998</v>
      </c>
      <c r="P42" t="s">
        <v>101</v>
      </c>
      <c r="Q42" t="s">
        <v>153</v>
      </c>
      <c r="R42" s="3">
        <v>27200</v>
      </c>
      <c r="S42" s="4">
        <v>1.05845588235294</v>
      </c>
      <c r="T42" s="4">
        <v>0.159844401261922</v>
      </c>
      <c r="U42" t="s">
        <v>116</v>
      </c>
      <c r="V42" s="4">
        <v>0.08</v>
      </c>
      <c r="W42">
        <v>4.6</v>
      </c>
    </row>
    <row r="43" spans="1:23">
      <c r="A43" t="s">
        <v>220</v>
      </c>
      <c r="B43" s="2">
        <v>45666</v>
      </c>
      <c r="C43" t="s">
        <v>33</v>
      </c>
      <c r="D43" t="s">
        <v>159</v>
      </c>
      <c r="E43" t="s">
        <v>28</v>
      </c>
      <c r="F43" t="s">
        <v>167</v>
      </c>
      <c r="G43" t="s">
        <v>168</v>
      </c>
      <c r="H43" t="s">
        <v>4</v>
      </c>
      <c r="I43" t="s">
        <v>184</v>
      </c>
      <c r="J43">
        <v>5</v>
      </c>
      <c r="K43" s="3">
        <v>13120</v>
      </c>
      <c r="L43" s="3">
        <v>65600</v>
      </c>
      <c r="M43" s="3">
        <v>41250</v>
      </c>
      <c r="N43" s="3">
        <v>24350</v>
      </c>
      <c r="O43" s="4">
        <v>0.371189024390244</v>
      </c>
      <c r="P43" t="s">
        <v>101</v>
      </c>
      <c r="Q43" t="s">
        <v>153</v>
      </c>
      <c r="R43" s="3">
        <v>64800</v>
      </c>
      <c r="S43" s="4">
        <v>1.01234567901235</v>
      </c>
      <c r="T43" s="4">
        <v>0.110401229525532</v>
      </c>
      <c r="U43" t="s">
        <v>116</v>
      </c>
      <c r="V43" s="4">
        <v>0.05</v>
      </c>
      <c r="W43">
        <v>3.5</v>
      </c>
    </row>
    <row r="44" spans="1:23">
      <c r="A44" t="s">
        <v>221</v>
      </c>
      <c r="B44" s="2">
        <v>45938</v>
      </c>
      <c r="C44" t="s">
        <v>42</v>
      </c>
      <c r="D44" t="s">
        <v>145</v>
      </c>
      <c r="E44" t="s">
        <v>24</v>
      </c>
      <c r="F44" t="s">
        <v>160</v>
      </c>
      <c r="G44" t="s">
        <v>161</v>
      </c>
      <c r="H44" t="s">
        <v>25</v>
      </c>
      <c r="I44" t="s">
        <v>207</v>
      </c>
      <c r="J44">
        <v>2</v>
      </c>
      <c r="K44" s="3">
        <v>71540</v>
      </c>
      <c r="L44" s="3">
        <v>143080</v>
      </c>
      <c r="M44" s="3">
        <v>105000</v>
      </c>
      <c r="N44" s="3">
        <v>38080</v>
      </c>
      <c r="O44" s="4">
        <v>0.26614481409002</v>
      </c>
      <c r="P44" t="s">
        <v>165</v>
      </c>
      <c r="Q44" t="s">
        <v>104</v>
      </c>
      <c r="R44" s="3">
        <v>166700</v>
      </c>
      <c r="S44" s="4">
        <v>0.858308338332334</v>
      </c>
      <c r="T44" s="4">
        <v>-0.0649069003983802</v>
      </c>
      <c r="U44" t="s">
        <v>116</v>
      </c>
      <c r="V44" s="4">
        <v>0</v>
      </c>
      <c r="W44">
        <v>4.3</v>
      </c>
    </row>
    <row r="45" spans="1:23">
      <c r="A45" t="s">
        <v>222</v>
      </c>
      <c r="B45" s="2">
        <v>45923</v>
      </c>
      <c r="C45" t="s">
        <v>41</v>
      </c>
      <c r="D45" t="s">
        <v>69</v>
      </c>
      <c r="E45" t="s">
        <v>29</v>
      </c>
      <c r="F45" t="s">
        <v>73</v>
      </c>
      <c r="G45" t="s">
        <v>76</v>
      </c>
      <c r="H45" t="s">
        <v>4</v>
      </c>
      <c r="I45" t="s">
        <v>184</v>
      </c>
      <c r="J45">
        <v>10</v>
      </c>
      <c r="K45" s="3">
        <v>12950</v>
      </c>
      <c r="L45" s="3">
        <v>129500</v>
      </c>
      <c r="M45" s="3">
        <v>82500</v>
      </c>
      <c r="N45" s="3">
        <v>47000</v>
      </c>
      <c r="O45" s="4">
        <v>0.362934362934363</v>
      </c>
      <c r="P45" t="s">
        <v>101</v>
      </c>
      <c r="Q45" t="s">
        <v>153</v>
      </c>
      <c r="R45" s="3">
        <v>143600</v>
      </c>
      <c r="S45" s="4">
        <v>0.901810584958217</v>
      </c>
      <c r="T45" s="4">
        <v>0.154143753862005</v>
      </c>
      <c r="U45" t="s">
        <v>116</v>
      </c>
      <c r="V45" s="4">
        <v>0.05</v>
      </c>
      <c r="W45">
        <v>4.7</v>
      </c>
    </row>
    <row r="46" spans="1:23">
      <c r="A46" t="s">
        <v>223</v>
      </c>
      <c r="B46" s="2">
        <v>45911</v>
      </c>
      <c r="C46" t="s">
        <v>41</v>
      </c>
      <c r="D46" t="s">
        <v>69</v>
      </c>
      <c r="E46" t="s">
        <v>24</v>
      </c>
      <c r="F46" t="s">
        <v>160</v>
      </c>
      <c r="G46" t="s">
        <v>180</v>
      </c>
      <c r="H46" t="s">
        <v>4</v>
      </c>
      <c r="I46" t="s">
        <v>184</v>
      </c>
      <c r="J46">
        <v>4</v>
      </c>
      <c r="K46" s="3">
        <v>13290</v>
      </c>
      <c r="L46" s="3">
        <v>53160</v>
      </c>
      <c r="M46" s="3">
        <v>33000</v>
      </c>
      <c r="N46" s="3">
        <v>20160</v>
      </c>
      <c r="O46" s="4">
        <v>0.379232505643341</v>
      </c>
      <c r="P46" t="s">
        <v>101</v>
      </c>
      <c r="Q46" t="s">
        <v>153</v>
      </c>
      <c r="R46" s="3">
        <v>62100</v>
      </c>
      <c r="S46" s="4">
        <v>0.856038647342995</v>
      </c>
      <c r="T46" s="4">
        <v>-0.0136492918211547</v>
      </c>
      <c r="U46" t="s">
        <v>116</v>
      </c>
      <c r="V46" s="4">
        <v>0.03</v>
      </c>
      <c r="W46">
        <v>4</v>
      </c>
    </row>
    <row r="47" spans="1:23">
      <c r="A47" t="s">
        <v>224</v>
      </c>
      <c r="B47" s="2">
        <v>45672</v>
      </c>
      <c r="C47" t="s">
        <v>33</v>
      </c>
      <c r="D47" t="s">
        <v>159</v>
      </c>
      <c r="E47" t="s">
        <v>26</v>
      </c>
      <c r="F47" t="s">
        <v>174</v>
      </c>
      <c r="G47" t="s">
        <v>175</v>
      </c>
      <c r="H47" t="s">
        <v>27</v>
      </c>
      <c r="I47" t="s">
        <v>157</v>
      </c>
      <c r="J47">
        <v>12</v>
      </c>
      <c r="K47" s="3">
        <v>13080</v>
      </c>
      <c r="L47" s="3">
        <v>156960</v>
      </c>
      <c r="M47" s="3">
        <v>91200</v>
      </c>
      <c r="N47" s="3">
        <v>65760</v>
      </c>
      <c r="O47" s="4">
        <v>0.418960244648318</v>
      </c>
      <c r="P47" t="s">
        <v>165</v>
      </c>
      <c r="Q47" t="s">
        <v>104</v>
      </c>
      <c r="R47" s="3">
        <v>143300</v>
      </c>
      <c r="S47" s="4">
        <v>1.09532449406839</v>
      </c>
      <c r="T47" s="4">
        <v>0.13636750018318</v>
      </c>
      <c r="U47" t="s">
        <v>116</v>
      </c>
      <c r="V47" s="4">
        <v>0</v>
      </c>
      <c r="W47">
        <v>3.4</v>
      </c>
    </row>
    <row r="48" spans="1:23">
      <c r="A48" t="s">
        <v>225</v>
      </c>
      <c r="B48" s="2">
        <v>45795</v>
      </c>
      <c r="C48" t="s">
        <v>37</v>
      </c>
      <c r="D48" t="s">
        <v>150</v>
      </c>
      <c r="E48" t="s">
        <v>29</v>
      </c>
      <c r="F48" t="s">
        <v>151</v>
      </c>
      <c r="G48" t="s">
        <v>76</v>
      </c>
      <c r="H48" t="s">
        <v>4</v>
      </c>
      <c r="I48" t="s">
        <v>189</v>
      </c>
      <c r="J48">
        <v>15</v>
      </c>
      <c r="K48" s="3">
        <v>15760</v>
      </c>
      <c r="L48" s="3">
        <v>236400</v>
      </c>
      <c r="M48" s="3">
        <v>156000</v>
      </c>
      <c r="N48" s="3">
        <v>80400</v>
      </c>
      <c r="O48" s="4">
        <v>0.34010152284264</v>
      </c>
      <c r="P48" t="s">
        <v>101</v>
      </c>
      <c r="Q48" t="s">
        <v>153</v>
      </c>
      <c r="R48" s="3">
        <v>272400</v>
      </c>
      <c r="S48" s="4">
        <v>0.86784140969163</v>
      </c>
      <c r="T48" s="4">
        <v>0.0392653408895455</v>
      </c>
      <c r="U48" t="s">
        <v>116</v>
      </c>
      <c r="V48" s="4">
        <v>0.08</v>
      </c>
      <c r="W48">
        <v>3.9</v>
      </c>
    </row>
    <row r="49" spans="1:23">
      <c r="A49" t="s">
        <v>226</v>
      </c>
      <c r="B49" s="2">
        <v>45711</v>
      </c>
      <c r="C49" t="s">
        <v>34</v>
      </c>
      <c r="D49" t="s">
        <v>159</v>
      </c>
      <c r="E49" t="s">
        <v>24</v>
      </c>
      <c r="F49" t="s">
        <v>196</v>
      </c>
      <c r="G49" t="s">
        <v>161</v>
      </c>
      <c r="H49" t="s">
        <v>27</v>
      </c>
      <c r="I49" t="s">
        <v>157</v>
      </c>
      <c r="J49">
        <v>10</v>
      </c>
      <c r="K49" s="3">
        <v>12330</v>
      </c>
      <c r="L49" s="3">
        <v>123300</v>
      </c>
      <c r="M49" s="3">
        <v>76000</v>
      </c>
      <c r="N49" s="3">
        <v>47300</v>
      </c>
      <c r="O49" s="4">
        <v>0.383617193836172</v>
      </c>
      <c r="P49" t="s">
        <v>165</v>
      </c>
      <c r="Q49" t="s">
        <v>104</v>
      </c>
      <c r="R49" s="3">
        <v>115500</v>
      </c>
      <c r="S49" s="4">
        <v>1.06753246753247</v>
      </c>
      <c r="T49" s="4">
        <v>0.0445851930615115</v>
      </c>
      <c r="U49" t="s">
        <v>116</v>
      </c>
      <c r="V49" s="4">
        <v>0.03</v>
      </c>
      <c r="W49">
        <v>3.9</v>
      </c>
    </row>
    <row r="50" spans="1:23">
      <c r="A50" t="s">
        <v>227</v>
      </c>
      <c r="B50" s="2">
        <v>45871</v>
      </c>
      <c r="C50" t="s">
        <v>40</v>
      </c>
      <c r="D50" t="s">
        <v>69</v>
      </c>
      <c r="E50" t="s">
        <v>29</v>
      </c>
      <c r="F50" t="s">
        <v>183</v>
      </c>
      <c r="G50" t="s">
        <v>164</v>
      </c>
      <c r="H50" t="s">
        <v>30</v>
      </c>
      <c r="I50" t="s">
        <v>169</v>
      </c>
      <c r="J50">
        <v>16</v>
      </c>
      <c r="K50" s="3">
        <v>4040</v>
      </c>
      <c r="L50" s="3">
        <v>64640</v>
      </c>
      <c r="M50" s="3">
        <v>28160</v>
      </c>
      <c r="N50" s="3">
        <v>36480</v>
      </c>
      <c r="O50" s="4">
        <v>0.564356435643564</v>
      </c>
      <c r="P50" t="s">
        <v>101</v>
      </c>
      <c r="Q50" t="s">
        <v>153</v>
      </c>
      <c r="R50" s="3">
        <v>62100</v>
      </c>
      <c r="S50" s="4">
        <v>1.04090177133655</v>
      </c>
      <c r="T50" s="4">
        <v>-0.0188638872791977</v>
      </c>
      <c r="U50" t="s">
        <v>211</v>
      </c>
      <c r="V50" s="4">
        <v>0</v>
      </c>
      <c r="W50">
        <v>5</v>
      </c>
    </row>
    <row r="51" spans="1:23">
      <c r="A51" t="s">
        <v>228</v>
      </c>
      <c r="B51" s="2">
        <v>45793</v>
      </c>
      <c r="C51" t="s">
        <v>37</v>
      </c>
      <c r="D51" t="s">
        <v>150</v>
      </c>
      <c r="E51" t="s">
        <v>24</v>
      </c>
      <c r="F51" t="s">
        <v>196</v>
      </c>
      <c r="G51" t="s">
        <v>180</v>
      </c>
      <c r="H51" t="s">
        <v>30</v>
      </c>
      <c r="I51" t="s">
        <v>169</v>
      </c>
      <c r="J51">
        <v>8</v>
      </c>
      <c r="K51" s="3">
        <v>3700</v>
      </c>
      <c r="L51" s="3">
        <v>29600</v>
      </c>
      <c r="M51" s="3">
        <v>14080</v>
      </c>
      <c r="N51" s="3">
        <v>15520</v>
      </c>
      <c r="O51" s="4">
        <v>0.524324324324324</v>
      </c>
      <c r="P51" t="s">
        <v>101</v>
      </c>
      <c r="Q51" t="s">
        <v>153</v>
      </c>
      <c r="R51" s="3">
        <v>27800</v>
      </c>
      <c r="S51" s="4">
        <v>1.06474820143885</v>
      </c>
      <c r="T51" s="4">
        <v>0.0867705951110849</v>
      </c>
      <c r="U51" t="s">
        <v>116</v>
      </c>
      <c r="V51" s="4">
        <v>0.03</v>
      </c>
      <c r="W51">
        <v>3.8</v>
      </c>
    </row>
    <row r="52" spans="1:23">
      <c r="A52" t="s">
        <v>229</v>
      </c>
      <c r="B52" s="2">
        <v>45847</v>
      </c>
      <c r="C52" t="s">
        <v>39</v>
      </c>
      <c r="D52" t="s">
        <v>69</v>
      </c>
      <c r="E52" t="s">
        <v>26</v>
      </c>
      <c r="F52" t="s">
        <v>174</v>
      </c>
      <c r="G52" t="s">
        <v>175</v>
      </c>
      <c r="H52" t="s">
        <v>4</v>
      </c>
      <c r="I52" t="s">
        <v>172</v>
      </c>
      <c r="J52">
        <v>6</v>
      </c>
      <c r="K52" s="3">
        <v>12070</v>
      </c>
      <c r="L52" s="3">
        <v>72420</v>
      </c>
      <c r="M52" s="3">
        <v>42600</v>
      </c>
      <c r="N52" s="3">
        <v>29820</v>
      </c>
      <c r="O52" s="4">
        <v>0.411764705882353</v>
      </c>
      <c r="P52" t="s">
        <v>101</v>
      </c>
      <c r="Q52" t="s">
        <v>153</v>
      </c>
      <c r="R52" s="3">
        <v>67000</v>
      </c>
      <c r="S52" s="4">
        <v>1.08089552238806</v>
      </c>
      <c r="T52" s="4">
        <v>0.0737072285501156</v>
      </c>
      <c r="U52" t="s">
        <v>116</v>
      </c>
      <c r="V52" s="4">
        <v>0</v>
      </c>
      <c r="W52">
        <v>3.6</v>
      </c>
    </row>
    <row r="53" spans="1:23">
      <c r="A53" t="s">
        <v>230</v>
      </c>
      <c r="B53" s="2">
        <v>45752</v>
      </c>
      <c r="C53" t="s">
        <v>36</v>
      </c>
      <c r="D53" t="s">
        <v>150</v>
      </c>
      <c r="E53" t="s">
        <v>28</v>
      </c>
      <c r="F53" t="s">
        <v>155</v>
      </c>
      <c r="G53" t="s">
        <v>168</v>
      </c>
      <c r="H53" t="s">
        <v>30</v>
      </c>
      <c r="I53" t="s">
        <v>169</v>
      </c>
      <c r="J53">
        <v>1</v>
      </c>
      <c r="K53" s="3">
        <v>3820</v>
      </c>
      <c r="L53" s="3">
        <v>3820</v>
      </c>
      <c r="M53" s="3">
        <v>1760</v>
      </c>
      <c r="N53" s="3">
        <v>2060</v>
      </c>
      <c r="O53" s="4">
        <v>0.539267015706806</v>
      </c>
      <c r="P53" t="s">
        <v>165</v>
      </c>
      <c r="Q53" t="s">
        <v>153</v>
      </c>
      <c r="R53" s="3">
        <v>3600</v>
      </c>
      <c r="S53" s="4">
        <v>1.06111111111111</v>
      </c>
      <c r="T53" s="4">
        <v>0.028995379532058</v>
      </c>
      <c r="U53" t="s">
        <v>116</v>
      </c>
      <c r="V53" s="4">
        <v>0.05</v>
      </c>
      <c r="W53">
        <v>3.9</v>
      </c>
    </row>
    <row r="54" spans="1:23">
      <c r="A54" t="s">
        <v>231</v>
      </c>
      <c r="B54" s="2">
        <v>45742</v>
      </c>
      <c r="C54" t="s">
        <v>35</v>
      </c>
      <c r="D54" t="s">
        <v>159</v>
      </c>
      <c r="E54" t="s">
        <v>29</v>
      </c>
      <c r="F54" t="s">
        <v>151</v>
      </c>
      <c r="G54" t="s">
        <v>76</v>
      </c>
      <c r="H54" t="s">
        <v>4</v>
      </c>
      <c r="I54" t="s">
        <v>189</v>
      </c>
      <c r="J54">
        <v>8</v>
      </c>
      <c r="K54" s="3">
        <v>16250</v>
      </c>
      <c r="L54" s="3">
        <v>130000</v>
      </c>
      <c r="M54" s="3">
        <v>83200</v>
      </c>
      <c r="N54" s="3">
        <v>46800</v>
      </c>
      <c r="O54" s="4">
        <v>0.36</v>
      </c>
      <c r="P54" t="s">
        <v>101</v>
      </c>
      <c r="Q54" t="s">
        <v>153</v>
      </c>
      <c r="R54" s="3">
        <v>128000</v>
      </c>
      <c r="S54" s="4">
        <v>1.015625</v>
      </c>
      <c r="T54" s="4">
        <v>0.172187155754639</v>
      </c>
      <c r="U54" t="s">
        <v>116</v>
      </c>
      <c r="V54" s="4">
        <v>0</v>
      </c>
      <c r="W54">
        <v>4.6</v>
      </c>
    </row>
    <row r="55" spans="1:23">
      <c r="A55" t="s">
        <v>232</v>
      </c>
      <c r="B55" s="2">
        <v>45793</v>
      </c>
      <c r="C55" t="s">
        <v>37</v>
      </c>
      <c r="D55" t="s">
        <v>150</v>
      </c>
      <c r="E55" t="s">
        <v>26</v>
      </c>
      <c r="F55" t="s">
        <v>174</v>
      </c>
      <c r="G55" t="s">
        <v>175</v>
      </c>
      <c r="H55" t="s">
        <v>4</v>
      </c>
      <c r="I55" t="s">
        <v>172</v>
      </c>
      <c r="J55">
        <v>14</v>
      </c>
      <c r="K55" s="3">
        <v>10710</v>
      </c>
      <c r="L55" s="3">
        <v>149940</v>
      </c>
      <c r="M55" s="3">
        <v>99400</v>
      </c>
      <c r="N55" s="3">
        <v>50540</v>
      </c>
      <c r="O55" s="4">
        <v>0.337068160597572</v>
      </c>
      <c r="P55" t="s">
        <v>165</v>
      </c>
      <c r="Q55" t="s">
        <v>104</v>
      </c>
      <c r="R55" s="3">
        <v>176200</v>
      </c>
      <c r="S55" s="4">
        <v>0.850964812712826</v>
      </c>
      <c r="T55" s="4">
        <v>-0.0563271327764264</v>
      </c>
      <c r="U55" t="s">
        <v>116</v>
      </c>
      <c r="V55" s="4">
        <v>0.08</v>
      </c>
      <c r="W55">
        <v>4.8</v>
      </c>
    </row>
    <row r="56" spans="1:23">
      <c r="A56" t="s">
        <v>233</v>
      </c>
      <c r="B56" s="2">
        <v>45827</v>
      </c>
      <c r="C56" t="s">
        <v>38</v>
      </c>
      <c r="D56" t="s">
        <v>150</v>
      </c>
      <c r="E56" t="s">
        <v>24</v>
      </c>
      <c r="F56" t="s">
        <v>196</v>
      </c>
      <c r="G56" t="s">
        <v>180</v>
      </c>
      <c r="H56" t="s">
        <v>25</v>
      </c>
      <c r="I56" t="s">
        <v>218</v>
      </c>
      <c r="J56">
        <v>1</v>
      </c>
      <c r="K56" s="3">
        <v>33280</v>
      </c>
      <c r="L56" s="3">
        <v>33280</v>
      </c>
      <c r="M56" s="3">
        <v>22800</v>
      </c>
      <c r="N56" s="3">
        <v>10480</v>
      </c>
      <c r="O56" s="4">
        <v>0.314903846153846</v>
      </c>
      <c r="P56" t="s">
        <v>165</v>
      </c>
      <c r="Q56" t="s">
        <v>104</v>
      </c>
      <c r="R56" s="3">
        <v>31000</v>
      </c>
      <c r="S56" s="4">
        <v>1.07354838709677</v>
      </c>
      <c r="T56" s="4">
        <v>0.00818211440330688</v>
      </c>
      <c r="U56" t="s">
        <v>116</v>
      </c>
      <c r="V56" s="4">
        <v>0</v>
      </c>
      <c r="W56">
        <v>3.7</v>
      </c>
    </row>
    <row r="57" spans="1:23">
      <c r="A57" t="s">
        <v>234</v>
      </c>
      <c r="B57" s="2">
        <v>45933</v>
      </c>
      <c r="C57" t="s">
        <v>42</v>
      </c>
      <c r="D57" t="s">
        <v>145</v>
      </c>
      <c r="E57" t="s">
        <v>24</v>
      </c>
      <c r="F57" t="s">
        <v>196</v>
      </c>
      <c r="G57" t="s">
        <v>180</v>
      </c>
      <c r="H57" t="s">
        <v>30</v>
      </c>
      <c r="I57" t="s">
        <v>216</v>
      </c>
      <c r="J57">
        <v>7</v>
      </c>
      <c r="K57" s="3">
        <v>5470</v>
      </c>
      <c r="L57" s="3">
        <v>38290</v>
      </c>
      <c r="M57" s="3">
        <v>20440</v>
      </c>
      <c r="N57" s="3">
        <v>17850</v>
      </c>
      <c r="O57" s="4">
        <v>0.46617915904936</v>
      </c>
      <c r="P57" t="s">
        <v>165</v>
      </c>
      <c r="Q57" t="s">
        <v>153</v>
      </c>
      <c r="R57" s="3">
        <v>40900</v>
      </c>
      <c r="S57" s="4">
        <v>0.936185819070905</v>
      </c>
      <c r="T57" s="4">
        <v>0.143797658489146</v>
      </c>
      <c r="U57" t="s">
        <v>116</v>
      </c>
      <c r="V57" s="4">
        <v>0.05</v>
      </c>
      <c r="W57">
        <v>3.8</v>
      </c>
    </row>
    <row r="58" spans="1:23">
      <c r="A58" t="s">
        <v>235</v>
      </c>
      <c r="B58" s="2">
        <v>45935</v>
      </c>
      <c r="C58" t="s">
        <v>42</v>
      </c>
      <c r="D58" t="s">
        <v>145</v>
      </c>
      <c r="E58" t="s">
        <v>24</v>
      </c>
      <c r="F58" t="s">
        <v>160</v>
      </c>
      <c r="G58" t="s">
        <v>161</v>
      </c>
      <c r="H58" t="s">
        <v>30</v>
      </c>
      <c r="I58" t="s">
        <v>81</v>
      </c>
      <c r="J58">
        <v>15</v>
      </c>
      <c r="K58" s="3">
        <v>2090</v>
      </c>
      <c r="L58" s="3">
        <v>31350</v>
      </c>
      <c r="M58" s="3">
        <v>13950</v>
      </c>
      <c r="N58" s="3">
        <v>17400</v>
      </c>
      <c r="O58" s="4">
        <v>0.555023923444976</v>
      </c>
      <c r="P58" t="s">
        <v>101</v>
      </c>
      <c r="Q58" t="s">
        <v>153</v>
      </c>
      <c r="R58" s="3">
        <v>35000</v>
      </c>
      <c r="S58" s="4">
        <v>0.895714285714286</v>
      </c>
      <c r="T58" s="4">
        <v>0.09227212389699</v>
      </c>
      <c r="U58" t="s">
        <v>116</v>
      </c>
      <c r="V58" s="4">
        <v>0</v>
      </c>
      <c r="W58">
        <v>4</v>
      </c>
    </row>
    <row r="59" spans="1:23">
      <c r="A59" t="s">
        <v>236</v>
      </c>
      <c r="B59" s="2">
        <v>45986</v>
      </c>
      <c r="C59" t="s">
        <v>43</v>
      </c>
      <c r="D59" t="s">
        <v>145</v>
      </c>
      <c r="E59" t="s">
        <v>29</v>
      </c>
      <c r="F59" t="s">
        <v>183</v>
      </c>
      <c r="G59" t="s">
        <v>164</v>
      </c>
      <c r="H59" t="s">
        <v>4</v>
      </c>
      <c r="I59" t="s">
        <v>184</v>
      </c>
      <c r="J59">
        <v>16</v>
      </c>
      <c r="K59" s="3">
        <v>13030</v>
      </c>
      <c r="L59" s="3">
        <v>208480</v>
      </c>
      <c r="M59" s="3">
        <v>132000</v>
      </c>
      <c r="N59" s="3">
        <v>76480</v>
      </c>
      <c r="O59" s="4">
        <v>0.366845740598619</v>
      </c>
      <c r="P59" t="s">
        <v>165</v>
      </c>
      <c r="Q59" t="s">
        <v>104</v>
      </c>
      <c r="R59" s="3">
        <v>216800</v>
      </c>
      <c r="S59" s="4">
        <v>0.961623616236162</v>
      </c>
      <c r="T59" s="4">
        <v>0.0571313839543529</v>
      </c>
      <c r="U59" t="s">
        <v>116</v>
      </c>
      <c r="V59" s="4">
        <v>0.05</v>
      </c>
      <c r="W59">
        <v>4.5</v>
      </c>
    </row>
    <row r="60" spans="1:23">
      <c r="A60" t="s">
        <v>237</v>
      </c>
      <c r="B60" s="2">
        <v>45855</v>
      </c>
      <c r="C60" t="s">
        <v>39</v>
      </c>
      <c r="D60" t="s">
        <v>69</v>
      </c>
      <c r="E60" t="s">
        <v>24</v>
      </c>
      <c r="F60" t="s">
        <v>160</v>
      </c>
      <c r="G60" t="s">
        <v>161</v>
      </c>
      <c r="H60" t="s">
        <v>27</v>
      </c>
      <c r="I60" t="s">
        <v>162</v>
      </c>
      <c r="J60">
        <v>3</v>
      </c>
      <c r="K60" s="3">
        <v>17420</v>
      </c>
      <c r="L60" s="3">
        <v>52260</v>
      </c>
      <c r="M60" s="3">
        <v>37800</v>
      </c>
      <c r="N60" s="3">
        <v>14460</v>
      </c>
      <c r="O60" s="4">
        <v>0.276693455797933</v>
      </c>
      <c r="P60" t="s">
        <v>101</v>
      </c>
      <c r="Q60" t="s">
        <v>104</v>
      </c>
      <c r="R60" s="3">
        <v>61400</v>
      </c>
      <c r="S60" s="4">
        <v>0.85114006514658</v>
      </c>
      <c r="T60" s="4">
        <v>0.0314716238411741</v>
      </c>
      <c r="U60" t="s">
        <v>116</v>
      </c>
      <c r="V60" s="4">
        <v>0.08</v>
      </c>
      <c r="W60">
        <v>4.3</v>
      </c>
    </row>
    <row r="61" spans="1:23">
      <c r="A61" t="s">
        <v>238</v>
      </c>
      <c r="B61" s="2">
        <v>46018</v>
      </c>
      <c r="C61" t="s">
        <v>44</v>
      </c>
      <c r="D61" t="s">
        <v>145</v>
      </c>
      <c r="E61" t="s">
        <v>24</v>
      </c>
      <c r="F61" t="s">
        <v>179</v>
      </c>
      <c r="G61" t="s">
        <v>180</v>
      </c>
      <c r="H61" t="s">
        <v>4</v>
      </c>
      <c r="I61" t="s">
        <v>172</v>
      </c>
      <c r="J61">
        <v>16</v>
      </c>
      <c r="K61" s="3">
        <v>11260</v>
      </c>
      <c r="L61" s="3">
        <v>180160</v>
      </c>
      <c r="M61" s="3">
        <v>113600</v>
      </c>
      <c r="N61" s="3">
        <v>66560</v>
      </c>
      <c r="O61" s="4">
        <v>0.369449378330373</v>
      </c>
      <c r="P61" t="s">
        <v>101</v>
      </c>
      <c r="Q61" t="s">
        <v>104</v>
      </c>
      <c r="R61" s="3">
        <v>187000</v>
      </c>
      <c r="S61" s="4">
        <v>0.963422459893048</v>
      </c>
      <c r="T61" s="4">
        <v>-0.0424377540950275</v>
      </c>
      <c r="U61" t="s">
        <v>116</v>
      </c>
      <c r="V61" s="4">
        <v>0.05</v>
      </c>
      <c r="W61">
        <v>4.4</v>
      </c>
    </row>
    <row r="62" spans="1:23">
      <c r="A62" t="s">
        <v>239</v>
      </c>
      <c r="B62" s="2">
        <v>45959</v>
      </c>
      <c r="C62" t="s">
        <v>42</v>
      </c>
      <c r="D62" t="s">
        <v>145</v>
      </c>
      <c r="E62" t="s">
        <v>29</v>
      </c>
      <c r="F62" t="s">
        <v>183</v>
      </c>
      <c r="G62" t="s">
        <v>76</v>
      </c>
      <c r="H62" t="s">
        <v>25</v>
      </c>
      <c r="I62" t="s">
        <v>218</v>
      </c>
      <c r="J62">
        <v>11</v>
      </c>
      <c r="K62" s="3">
        <v>32500</v>
      </c>
      <c r="L62" s="3">
        <v>357500</v>
      </c>
      <c r="M62" s="3">
        <v>250800</v>
      </c>
      <c r="N62" s="3">
        <v>106700</v>
      </c>
      <c r="O62" s="4">
        <v>0.298461538461538</v>
      </c>
      <c r="P62" t="s">
        <v>165</v>
      </c>
      <c r="Q62" t="s">
        <v>104</v>
      </c>
      <c r="R62" s="3">
        <v>380000</v>
      </c>
      <c r="S62" s="4">
        <v>0.940789473684211</v>
      </c>
      <c r="T62" s="4">
        <v>-0.0341493782467597</v>
      </c>
      <c r="U62" t="s">
        <v>116</v>
      </c>
      <c r="V62" s="4">
        <v>0.03</v>
      </c>
      <c r="W62">
        <v>4.8</v>
      </c>
    </row>
    <row r="63" spans="1:23">
      <c r="A63" t="s">
        <v>240</v>
      </c>
      <c r="B63" s="2">
        <v>45736</v>
      </c>
      <c r="C63" t="s">
        <v>35</v>
      </c>
      <c r="D63" t="s">
        <v>159</v>
      </c>
      <c r="E63" t="s">
        <v>24</v>
      </c>
      <c r="F63" t="s">
        <v>160</v>
      </c>
      <c r="G63" t="s">
        <v>180</v>
      </c>
      <c r="H63" t="s">
        <v>27</v>
      </c>
      <c r="I63" t="s">
        <v>148</v>
      </c>
      <c r="J63">
        <v>3</v>
      </c>
      <c r="K63" s="3">
        <v>20190</v>
      </c>
      <c r="L63" s="3">
        <v>60570</v>
      </c>
      <c r="M63" s="3">
        <v>41700</v>
      </c>
      <c r="N63" s="3">
        <v>18870</v>
      </c>
      <c r="O63" s="4">
        <v>0.311540366518078</v>
      </c>
      <c r="P63" t="s">
        <v>101</v>
      </c>
      <c r="Q63" t="s">
        <v>104</v>
      </c>
      <c r="R63" s="3">
        <v>57000</v>
      </c>
      <c r="S63" s="4">
        <v>1.06263157894737</v>
      </c>
      <c r="T63" s="4">
        <v>-0.0489024059719921</v>
      </c>
      <c r="U63" t="s">
        <v>116</v>
      </c>
      <c r="V63" s="4">
        <v>0.08</v>
      </c>
      <c r="W63">
        <v>3.4</v>
      </c>
    </row>
    <row r="64" spans="1:23">
      <c r="A64" t="s">
        <v>241</v>
      </c>
      <c r="B64" s="2">
        <v>45740</v>
      </c>
      <c r="C64" t="s">
        <v>35</v>
      </c>
      <c r="D64" t="s">
        <v>159</v>
      </c>
      <c r="E64" t="s">
        <v>24</v>
      </c>
      <c r="F64" t="s">
        <v>160</v>
      </c>
      <c r="G64" t="s">
        <v>161</v>
      </c>
      <c r="H64" t="s">
        <v>25</v>
      </c>
      <c r="I64" t="s">
        <v>218</v>
      </c>
      <c r="J64">
        <v>7</v>
      </c>
      <c r="K64" s="3">
        <v>29550</v>
      </c>
      <c r="L64" s="3">
        <v>206850</v>
      </c>
      <c r="M64" s="3">
        <v>159600</v>
      </c>
      <c r="N64" s="3">
        <v>47250</v>
      </c>
      <c r="O64" s="4">
        <v>0.228426395939086</v>
      </c>
      <c r="P64" t="s">
        <v>165</v>
      </c>
      <c r="Q64" t="s">
        <v>153</v>
      </c>
      <c r="R64" s="3">
        <v>226600</v>
      </c>
      <c r="S64" s="4">
        <v>0.912842012356575</v>
      </c>
      <c r="T64" s="4">
        <v>0.154806728430142</v>
      </c>
      <c r="U64" t="s">
        <v>116</v>
      </c>
      <c r="V64" s="4">
        <v>0.08</v>
      </c>
      <c r="W64">
        <v>3.6</v>
      </c>
    </row>
    <row r="65" spans="1:23">
      <c r="A65" t="s">
        <v>242</v>
      </c>
      <c r="B65" s="2">
        <v>45876</v>
      </c>
      <c r="C65" t="s">
        <v>40</v>
      </c>
      <c r="D65" t="s">
        <v>69</v>
      </c>
      <c r="E65" t="s">
        <v>24</v>
      </c>
      <c r="F65" t="s">
        <v>179</v>
      </c>
      <c r="G65" t="s">
        <v>161</v>
      </c>
      <c r="H65" t="s">
        <v>30</v>
      </c>
      <c r="I65" t="s">
        <v>81</v>
      </c>
      <c r="J65">
        <v>5</v>
      </c>
      <c r="K65" s="3">
        <v>2100</v>
      </c>
      <c r="L65" s="3">
        <v>10500</v>
      </c>
      <c r="M65" s="3">
        <v>4650</v>
      </c>
      <c r="N65" s="3">
        <v>5850</v>
      </c>
      <c r="O65" s="4">
        <v>0.557142857142857</v>
      </c>
      <c r="P65" t="s">
        <v>101</v>
      </c>
      <c r="Q65" t="s">
        <v>153</v>
      </c>
      <c r="R65" s="3">
        <v>9600</v>
      </c>
      <c r="S65" s="4">
        <v>1.09375</v>
      </c>
      <c r="T65" s="4">
        <v>-0.0369878437462251</v>
      </c>
      <c r="U65" t="s">
        <v>211</v>
      </c>
      <c r="V65" s="4">
        <v>0.03</v>
      </c>
      <c r="W65">
        <v>4</v>
      </c>
    </row>
    <row r="66" spans="1:23">
      <c r="A66" t="s">
        <v>243</v>
      </c>
      <c r="B66" s="2">
        <v>45745</v>
      </c>
      <c r="C66" t="s">
        <v>35</v>
      </c>
      <c r="D66" t="s">
        <v>159</v>
      </c>
      <c r="E66" t="s">
        <v>26</v>
      </c>
      <c r="F66" t="s">
        <v>146</v>
      </c>
      <c r="G66" t="s">
        <v>175</v>
      </c>
      <c r="H66" t="s">
        <v>30</v>
      </c>
      <c r="I66" t="s">
        <v>169</v>
      </c>
      <c r="J66">
        <v>16</v>
      </c>
      <c r="K66" s="3">
        <v>3610</v>
      </c>
      <c r="L66" s="3">
        <v>57760</v>
      </c>
      <c r="M66" s="3">
        <v>28160</v>
      </c>
      <c r="N66" s="3">
        <v>29600</v>
      </c>
      <c r="O66" s="4">
        <v>0.512465373961219</v>
      </c>
      <c r="P66" t="s">
        <v>165</v>
      </c>
      <c r="Q66" t="s">
        <v>153</v>
      </c>
      <c r="R66" s="3">
        <v>58000</v>
      </c>
      <c r="S66" s="4">
        <v>0.995862068965517</v>
      </c>
      <c r="T66" s="4">
        <v>0.0275961236531142</v>
      </c>
      <c r="U66" t="s">
        <v>116</v>
      </c>
      <c r="V66" s="4">
        <v>0.08</v>
      </c>
      <c r="W66">
        <v>3.9</v>
      </c>
    </row>
    <row r="67" spans="1:23">
      <c r="A67" t="s">
        <v>244</v>
      </c>
      <c r="B67" s="2">
        <v>45851</v>
      </c>
      <c r="C67" t="s">
        <v>39</v>
      </c>
      <c r="D67" t="s">
        <v>69</v>
      </c>
      <c r="E67" t="s">
        <v>29</v>
      </c>
      <c r="F67" t="s">
        <v>151</v>
      </c>
      <c r="G67" t="s">
        <v>76</v>
      </c>
      <c r="H67" t="s">
        <v>4</v>
      </c>
      <c r="I67" t="s">
        <v>184</v>
      </c>
      <c r="J67">
        <v>16</v>
      </c>
      <c r="K67" s="3">
        <v>13540</v>
      </c>
      <c r="L67" s="3">
        <v>216640</v>
      </c>
      <c r="M67" s="3">
        <v>132000</v>
      </c>
      <c r="N67" s="3">
        <v>84640</v>
      </c>
      <c r="O67" s="4">
        <v>0.39069423929099</v>
      </c>
      <c r="P67" t="s">
        <v>101</v>
      </c>
      <c r="Q67" t="s">
        <v>153</v>
      </c>
      <c r="R67" s="3">
        <v>239600</v>
      </c>
      <c r="S67" s="4">
        <v>0.904173622704508</v>
      </c>
      <c r="T67" s="4">
        <v>0.0633239728542206</v>
      </c>
      <c r="U67" t="s">
        <v>116</v>
      </c>
      <c r="V67" s="4">
        <v>0</v>
      </c>
      <c r="W67">
        <v>4.2</v>
      </c>
    </row>
    <row r="68" spans="1:23">
      <c r="A68" t="s">
        <v>245</v>
      </c>
      <c r="B68" s="2">
        <v>45719</v>
      </c>
      <c r="C68" t="s">
        <v>35</v>
      </c>
      <c r="D68" t="s">
        <v>159</v>
      </c>
      <c r="E68" t="s">
        <v>28</v>
      </c>
      <c r="F68" t="s">
        <v>177</v>
      </c>
      <c r="G68" t="s">
        <v>168</v>
      </c>
      <c r="H68" t="s">
        <v>30</v>
      </c>
      <c r="I68" t="s">
        <v>169</v>
      </c>
      <c r="J68">
        <v>16</v>
      </c>
      <c r="K68" s="3">
        <v>3940</v>
      </c>
      <c r="L68" s="3">
        <v>63040</v>
      </c>
      <c r="M68" s="3">
        <v>28160</v>
      </c>
      <c r="N68" s="3">
        <v>34880</v>
      </c>
      <c r="O68" s="4">
        <v>0.553299492385787</v>
      </c>
      <c r="P68" t="s">
        <v>165</v>
      </c>
      <c r="Q68" t="s">
        <v>104</v>
      </c>
      <c r="R68" s="3">
        <v>63700</v>
      </c>
      <c r="S68" s="4">
        <v>0.989638932496075</v>
      </c>
      <c r="T68" s="4">
        <v>-0.0111016166677272</v>
      </c>
      <c r="U68" t="s">
        <v>116</v>
      </c>
      <c r="V68" s="4">
        <v>0.03</v>
      </c>
      <c r="W68">
        <v>4.3</v>
      </c>
    </row>
    <row r="69" spans="1:23">
      <c r="A69" t="s">
        <v>246</v>
      </c>
      <c r="B69" s="2">
        <v>45764</v>
      </c>
      <c r="C69" t="s">
        <v>36</v>
      </c>
      <c r="D69" t="s">
        <v>150</v>
      </c>
      <c r="E69" t="s">
        <v>28</v>
      </c>
      <c r="F69" t="s">
        <v>155</v>
      </c>
      <c r="G69" t="s">
        <v>156</v>
      </c>
      <c r="H69" t="s">
        <v>30</v>
      </c>
      <c r="I69" t="s">
        <v>216</v>
      </c>
      <c r="J69">
        <v>12</v>
      </c>
      <c r="K69" s="3">
        <v>5290</v>
      </c>
      <c r="L69" s="3">
        <v>63480</v>
      </c>
      <c r="M69" s="3">
        <v>35040</v>
      </c>
      <c r="N69" s="3">
        <v>28440</v>
      </c>
      <c r="O69" s="4">
        <v>0.448015122873346</v>
      </c>
      <c r="P69" t="s">
        <v>101</v>
      </c>
      <c r="Q69" t="s">
        <v>153</v>
      </c>
      <c r="R69" s="3">
        <v>60600</v>
      </c>
      <c r="S69" s="4">
        <v>1.04752475247525</v>
      </c>
      <c r="T69" s="4">
        <v>0.175170950636361</v>
      </c>
      <c r="U69" t="s">
        <v>116</v>
      </c>
      <c r="V69" s="4">
        <v>0.08</v>
      </c>
      <c r="W69">
        <v>3.9</v>
      </c>
    </row>
    <row r="70" spans="1:23">
      <c r="A70" t="s">
        <v>247</v>
      </c>
      <c r="B70" s="2">
        <v>45663</v>
      </c>
      <c r="C70" t="s">
        <v>33</v>
      </c>
      <c r="D70" t="s">
        <v>159</v>
      </c>
      <c r="E70" t="s">
        <v>24</v>
      </c>
      <c r="F70" t="s">
        <v>179</v>
      </c>
      <c r="G70" t="s">
        <v>180</v>
      </c>
      <c r="H70" t="s">
        <v>30</v>
      </c>
      <c r="I70" t="s">
        <v>169</v>
      </c>
      <c r="J70">
        <v>1</v>
      </c>
      <c r="K70" s="3">
        <v>3650</v>
      </c>
      <c r="L70" s="3">
        <v>3650</v>
      </c>
      <c r="M70" s="3">
        <v>1760</v>
      </c>
      <c r="N70" s="3">
        <v>1890</v>
      </c>
      <c r="O70" s="4">
        <v>0.517808219178082</v>
      </c>
      <c r="P70" t="s">
        <v>101</v>
      </c>
      <c r="Q70" t="s">
        <v>104</v>
      </c>
      <c r="R70" s="3">
        <v>3600</v>
      </c>
      <c r="S70" s="4">
        <v>1.01388888888889</v>
      </c>
      <c r="T70" s="4">
        <v>0.0780179464872215</v>
      </c>
      <c r="U70" t="s">
        <v>116</v>
      </c>
      <c r="V70" s="4">
        <v>0.08</v>
      </c>
      <c r="W70">
        <v>4</v>
      </c>
    </row>
    <row r="71" spans="1:23">
      <c r="A71" t="s">
        <v>248</v>
      </c>
      <c r="B71" s="2">
        <v>45680</v>
      </c>
      <c r="C71" t="s">
        <v>33</v>
      </c>
      <c r="D71" t="s">
        <v>159</v>
      </c>
      <c r="E71" t="s">
        <v>24</v>
      </c>
      <c r="F71" t="s">
        <v>196</v>
      </c>
      <c r="G71" t="s">
        <v>180</v>
      </c>
      <c r="H71" t="s">
        <v>25</v>
      </c>
      <c r="I71" t="s">
        <v>207</v>
      </c>
      <c r="J71">
        <v>7</v>
      </c>
      <c r="K71" s="3">
        <v>72670</v>
      </c>
      <c r="L71" s="3">
        <v>508690</v>
      </c>
      <c r="M71" s="3">
        <v>367500</v>
      </c>
      <c r="N71" s="3">
        <v>141190</v>
      </c>
      <c r="O71" s="4">
        <v>0.277556075409385</v>
      </c>
      <c r="P71" t="s">
        <v>101</v>
      </c>
      <c r="Q71" t="s">
        <v>104</v>
      </c>
      <c r="R71" s="3">
        <v>546900</v>
      </c>
      <c r="S71" s="4">
        <v>0.930133479612361</v>
      </c>
      <c r="T71" s="4">
        <v>-0.0774315010435135</v>
      </c>
      <c r="U71" t="s">
        <v>116</v>
      </c>
      <c r="V71" s="4">
        <v>0</v>
      </c>
      <c r="W71">
        <v>3.9</v>
      </c>
    </row>
    <row r="72" spans="1:23">
      <c r="A72" t="s">
        <v>249</v>
      </c>
      <c r="B72" s="2">
        <v>45862</v>
      </c>
      <c r="C72" t="s">
        <v>39</v>
      </c>
      <c r="D72" t="s">
        <v>69</v>
      </c>
      <c r="E72" t="s">
        <v>26</v>
      </c>
      <c r="F72" t="s">
        <v>146</v>
      </c>
      <c r="G72" t="s">
        <v>147</v>
      </c>
      <c r="H72" t="s">
        <v>30</v>
      </c>
      <c r="I72" t="s">
        <v>216</v>
      </c>
      <c r="J72">
        <v>4</v>
      </c>
      <c r="K72" s="3">
        <v>5740</v>
      </c>
      <c r="L72" s="3">
        <v>22960</v>
      </c>
      <c r="M72" s="3">
        <v>11680</v>
      </c>
      <c r="N72" s="3">
        <v>11280</v>
      </c>
      <c r="O72" s="4">
        <v>0.491289198606272</v>
      </c>
      <c r="P72" t="s">
        <v>165</v>
      </c>
      <c r="Q72" t="s">
        <v>104</v>
      </c>
      <c r="R72" s="3">
        <v>26000</v>
      </c>
      <c r="S72" s="4">
        <v>0.883076923076923</v>
      </c>
      <c r="T72" s="4">
        <v>0.18499628959902</v>
      </c>
      <c r="U72" t="s">
        <v>116</v>
      </c>
      <c r="V72" s="4">
        <v>0.03</v>
      </c>
      <c r="W72">
        <v>3.8</v>
      </c>
    </row>
    <row r="73" spans="1:23">
      <c r="A73" t="s">
        <v>250</v>
      </c>
      <c r="B73" s="2">
        <v>45698</v>
      </c>
      <c r="C73" t="s">
        <v>34</v>
      </c>
      <c r="D73" t="s">
        <v>159</v>
      </c>
      <c r="E73" t="s">
        <v>29</v>
      </c>
      <c r="F73" t="s">
        <v>73</v>
      </c>
      <c r="G73" t="s">
        <v>76</v>
      </c>
      <c r="H73" t="s">
        <v>30</v>
      </c>
      <c r="I73" t="s">
        <v>169</v>
      </c>
      <c r="J73">
        <v>5</v>
      </c>
      <c r="K73" s="3">
        <v>3690</v>
      </c>
      <c r="L73" s="3">
        <v>18450</v>
      </c>
      <c r="M73" s="3">
        <v>8800</v>
      </c>
      <c r="N73" s="3">
        <v>9650</v>
      </c>
      <c r="O73" s="4">
        <v>0.523035230352303</v>
      </c>
      <c r="P73" t="s">
        <v>165</v>
      </c>
      <c r="Q73" t="s">
        <v>153</v>
      </c>
      <c r="R73" s="3">
        <v>19100</v>
      </c>
      <c r="S73" s="4">
        <v>0.965968586387435</v>
      </c>
      <c r="T73" s="4">
        <v>0.0496726097862291</v>
      </c>
      <c r="U73" t="s">
        <v>116</v>
      </c>
      <c r="V73" s="4">
        <v>0.03</v>
      </c>
      <c r="W73">
        <v>3.9</v>
      </c>
    </row>
    <row r="74" spans="1:23">
      <c r="A74" t="s">
        <v>251</v>
      </c>
      <c r="B74" s="2">
        <v>45974</v>
      </c>
      <c r="C74" t="s">
        <v>43</v>
      </c>
      <c r="D74" t="s">
        <v>145</v>
      </c>
      <c r="E74" t="s">
        <v>24</v>
      </c>
      <c r="F74" t="s">
        <v>196</v>
      </c>
      <c r="G74" t="s">
        <v>161</v>
      </c>
      <c r="H74" t="s">
        <v>25</v>
      </c>
      <c r="I74" t="s">
        <v>152</v>
      </c>
      <c r="J74">
        <v>2</v>
      </c>
      <c r="K74" s="3">
        <v>26170</v>
      </c>
      <c r="L74" s="3">
        <v>52340</v>
      </c>
      <c r="M74" s="3">
        <v>36800</v>
      </c>
      <c r="N74" s="3">
        <v>15540</v>
      </c>
      <c r="O74" s="4">
        <v>0.296904852884983</v>
      </c>
      <c r="P74" t="s">
        <v>165</v>
      </c>
      <c r="Q74" t="s">
        <v>104</v>
      </c>
      <c r="R74" s="3">
        <v>52300</v>
      </c>
      <c r="S74" s="4">
        <v>1.00076481835564</v>
      </c>
      <c r="T74" s="4">
        <v>0.0378665270266961</v>
      </c>
      <c r="U74" t="s">
        <v>116</v>
      </c>
      <c r="V74" s="4">
        <v>0.03</v>
      </c>
      <c r="W74">
        <v>4.1</v>
      </c>
    </row>
    <row r="75" spans="1:23">
      <c r="A75" t="s">
        <v>252</v>
      </c>
      <c r="B75" s="2">
        <v>45809</v>
      </c>
      <c r="C75" t="s">
        <v>38</v>
      </c>
      <c r="D75" t="s">
        <v>150</v>
      </c>
      <c r="E75" t="s">
        <v>26</v>
      </c>
      <c r="F75" t="s">
        <v>174</v>
      </c>
      <c r="G75" t="s">
        <v>175</v>
      </c>
      <c r="H75" t="s">
        <v>30</v>
      </c>
      <c r="I75" t="s">
        <v>216</v>
      </c>
      <c r="J75">
        <v>16</v>
      </c>
      <c r="K75" s="3">
        <v>5750</v>
      </c>
      <c r="L75" s="3">
        <v>92000</v>
      </c>
      <c r="M75" s="3">
        <v>46720</v>
      </c>
      <c r="N75" s="3">
        <v>45280</v>
      </c>
      <c r="O75" s="4">
        <v>0.492173913043478</v>
      </c>
      <c r="P75" t="s">
        <v>165</v>
      </c>
      <c r="Q75" t="s">
        <v>153</v>
      </c>
      <c r="R75" s="3">
        <v>97800</v>
      </c>
      <c r="S75" s="4">
        <v>0.940695296523517</v>
      </c>
      <c r="T75" s="4">
        <v>-0.0437499624388104</v>
      </c>
      <c r="U75" t="s">
        <v>116</v>
      </c>
      <c r="V75" s="4">
        <v>0.03</v>
      </c>
      <c r="W75">
        <v>4.2</v>
      </c>
    </row>
    <row r="76" spans="1:23">
      <c r="A76" t="s">
        <v>253</v>
      </c>
      <c r="B76" s="2">
        <v>45693</v>
      </c>
      <c r="C76" t="s">
        <v>34</v>
      </c>
      <c r="D76" t="s">
        <v>159</v>
      </c>
      <c r="E76" t="s">
        <v>26</v>
      </c>
      <c r="F76" t="s">
        <v>146</v>
      </c>
      <c r="G76" t="s">
        <v>147</v>
      </c>
      <c r="H76" t="s">
        <v>25</v>
      </c>
      <c r="I76" t="s">
        <v>207</v>
      </c>
      <c r="J76">
        <v>8</v>
      </c>
      <c r="K76" s="3">
        <v>71680</v>
      </c>
      <c r="L76" s="3">
        <v>573440</v>
      </c>
      <c r="M76" s="3">
        <v>420000</v>
      </c>
      <c r="N76" s="3">
        <v>153440</v>
      </c>
      <c r="O76" s="4">
        <v>0.267578125</v>
      </c>
      <c r="P76" t="s">
        <v>165</v>
      </c>
      <c r="Q76" t="s">
        <v>104</v>
      </c>
      <c r="R76" s="3">
        <v>647800</v>
      </c>
      <c r="S76" s="4">
        <v>0.885211485026243</v>
      </c>
      <c r="T76" s="4">
        <v>0.0268998156307453</v>
      </c>
      <c r="U76" t="s">
        <v>116</v>
      </c>
      <c r="V76" s="4">
        <v>0</v>
      </c>
      <c r="W76">
        <v>3.7</v>
      </c>
    </row>
    <row r="77" spans="1:23">
      <c r="A77" t="s">
        <v>254</v>
      </c>
      <c r="B77" s="2">
        <v>45959</v>
      </c>
      <c r="C77" t="s">
        <v>42</v>
      </c>
      <c r="D77" t="s">
        <v>145</v>
      </c>
      <c r="E77" t="s">
        <v>26</v>
      </c>
      <c r="F77" t="s">
        <v>171</v>
      </c>
      <c r="G77" t="s">
        <v>147</v>
      </c>
      <c r="H77" t="s">
        <v>27</v>
      </c>
      <c r="I77" t="s">
        <v>157</v>
      </c>
      <c r="J77">
        <v>4</v>
      </c>
      <c r="K77" s="3">
        <v>11300</v>
      </c>
      <c r="L77" s="3">
        <v>45200</v>
      </c>
      <c r="M77" s="3">
        <v>30400</v>
      </c>
      <c r="N77" s="3">
        <v>14800</v>
      </c>
      <c r="O77" s="4">
        <v>0.327433628318584</v>
      </c>
      <c r="P77" t="s">
        <v>165</v>
      </c>
      <c r="Q77" t="s">
        <v>104</v>
      </c>
      <c r="R77" s="3">
        <v>42000</v>
      </c>
      <c r="S77" s="4">
        <v>1.07619047619048</v>
      </c>
      <c r="T77" s="4">
        <v>0.19671999404242</v>
      </c>
      <c r="U77" t="s">
        <v>193</v>
      </c>
      <c r="V77" s="4">
        <v>0.08</v>
      </c>
      <c r="W77">
        <v>4.6</v>
      </c>
    </row>
    <row r="78" spans="1:23">
      <c r="A78" t="s">
        <v>255</v>
      </c>
      <c r="B78" s="2">
        <v>45675</v>
      </c>
      <c r="C78" t="s">
        <v>33</v>
      </c>
      <c r="D78" t="s">
        <v>159</v>
      </c>
      <c r="E78" t="s">
        <v>29</v>
      </c>
      <c r="F78" t="s">
        <v>183</v>
      </c>
      <c r="G78" t="s">
        <v>164</v>
      </c>
      <c r="H78" t="s">
        <v>25</v>
      </c>
      <c r="I78" t="s">
        <v>207</v>
      </c>
      <c r="J78">
        <v>16</v>
      </c>
      <c r="K78" s="3">
        <v>68390</v>
      </c>
      <c r="L78" s="3">
        <v>1094240</v>
      </c>
      <c r="M78" s="3">
        <v>840000</v>
      </c>
      <c r="N78" s="3">
        <v>254240</v>
      </c>
      <c r="O78" s="4">
        <v>0.232343909928352</v>
      </c>
      <c r="P78" t="s">
        <v>101</v>
      </c>
      <c r="Q78" t="s">
        <v>104</v>
      </c>
      <c r="R78" s="3">
        <v>1132600</v>
      </c>
      <c r="S78" s="4">
        <v>0.966131025957973</v>
      </c>
      <c r="T78" s="4">
        <v>-0.0437092296479137</v>
      </c>
      <c r="U78" t="s">
        <v>116</v>
      </c>
      <c r="V78" s="4">
        <v>0.08</v>
      </c>
      <c r="W78">
        <v>4.5</v>
      </c>
    </row>
    <row r="79" spans="1:23">
      <c r="A79" t="s">
        <v>256</v>
      </c>
      <c r="B79" s="2">
        <v>45661</v>
      </c>
      <c r="C79" t="s">
        <v>33</v>
      </c>
      <c r="D79" t="s">
        <v>159</v>
      </c>
      <c r="E79" t="s">
        <v>24</v>
      </c>
      <c r="F79" t="s">
        <v>196</v>
      </c>
      <c r="G79" t="s">
        <v>180</v>
      </c>
      <c r="H79" t="s">
        <v>27</v>
      </c>
      <c r="I79" t="s">
        <v>157</v>
      </c>
      <c r="J79">
        <v>11</v>
      </c>
      <c r="K79" s="3">
        <v>11570</v>
      </c>
      <c r="L79" s="3">
        <v>127270</v>
      </c>
      <c r="M79" s="3">
        <v>83600</v>
      </c>
      <c r="N79" s="3">
        <v>43670</v>
      </c>
      <c r="O79" s="4">
        <v>0.343128781331029</v>
      </c>
      <c r="P79" t="s">
        <v>101</v>
      </c>
      <c r="Q79" t="s">
        <v>153</v>
      </c>
      <c r="R79" s="3">
        <v>126100</v>
      </c>
      <c r="S79" s="4">
        <v>1.00927835051546</v>
      </c>
      <c r="T79" s="4">
        <v>0.0885199882921498</v>
      </c>
      <c r="U79" t="s">
        <v>116</v>
      </c>
      <c r="V79" s="4">
        <v>0.08</v>
      </c>
      <c r="W79">
        <v>4.8</v>
      </c>
    </row>
    <row r="80" spans="1:23">
      <c r="A80" t="s">
        <v>257</v>
      </c>
      <c r="B80" s="2">
        <v>45946</v>
      </c>
      <c r="C80" t="s">
        <v>42</v>
      </c>
      <c r="D80" t="s">
        <v>145</v>
      </c>
      <c r="E80" t="s">
        <v>24</v>
      </c>
      <c r="F80" t="s">
        <v>179</v>
      </c>
      <c r="G80" t="s">
        <v>180</v>
      </c>
      <c r="H80" t="s">
        <v>27</v>
      </c>
      <c r="I80" t="s">
        <v>162</v>
      </c>
      <c r="J80">
        <v>16</v>
      </c>
      <c r="K80" s="3">
        <v>17510</v>
      </c>
      <c r="L80" s="3">
        <v>280160</v>
      </c>
      <c r="M80" s="3">
        <v>201600</v>
      </c>
      <c r="N80" s="3">
        <v>78560</v>
      </c>
      <c r="O80" s="4">
        <v>0.280411193603655</v>
      </c>
      <c r="P80" t="s">
        <v>101</v>
      </c>
      <c r="Q80" t="s">
        <v>104</v>
      </c>
      <c r="R80" s="3">
        <v>272400</v>
      </c>
      <c r="S80" s="4">
        <v>1.02848751835536</v>
      </c>
      <c r="T80" s="4">
        <v>-0.0340344999294476</v>
      </c>
      <c r="U80" t="s">
        <v>116</v>
      </c>
      <c r="V80" s="4">
        <v>0.08</v>
      </c>
      <c r="W80">
        <v>4.3</v>
      </c>
    </row>
    <row r="81" spans="1:23">
      <c r="A81" t="s">
        <v>258</v>
      </c>
      <c r="B81" s="2">
        <v>45872</v>
      </c>
      <c r="C81" t="s">
        <v>40</v>
      </c>
      <c r="D81" t="s">
        <v>69</v>
      </c>
      <c r="E81" t="s">
        <v>26</v>
      </c>
      <c r="F81" t="s">
        <v>174</v>
      </c>
      <c r="G81" t="s">
        <v>175</v>
      </c>
      <c r="H81" t="s">
        <v>4</v>
      </c>
      <c r="I81" t="s">
        <v>172</v>
      </c>
      <c r="J81">
        <v>2</v>
      </c>
      <c r="K81" s="3">
        <v>10510</v>
      </c>
      <c r="L81" s="3">
        <v>21020</v>
      </c>
      <c r="M81" s="3">
        <v>14200</v>
      </c>
      <c r="N81" s="3">
        <v>6820</v>
      </c>
      <c r="O81" s="4">
        <v>0.324452901998097</v>
      </c>
      <c r="P81" t="s">
        <v>101</v>
      </c>
      <c r="Q81" t="s">
        <v>153</v>
      </c>
      <c r="R81" s="3">
        <v>19800</v>
      </c>
      <c r="S81" s="4">
        <v>1.06161616161616</v>
      </c>
      <c r="T81" s="4">
        <v>0.0584108715581895</v>
      </c>
      <c r="U81" t="s">
        <v>116</v>
      </c>
      <c r="V81" s="4">
        <v>0.08</v>
      </c>
      <c r="W81">
        <v>4.8</v>
      </c>
    </row>
    <row r="82" spans="1:23">
      <c r="A82" t="s">
        <v>259</v>
      </c>
      <c r="B82" s="2">
        <v>45663</v>
      </c>
      <c r="C82" t="s">
        <v>33</v>
      </c>
      <c r="D82" t="s">
        <v>159</v>
      </c>
      <c r="E82" t="s">
        <v>26</v>
      </c>
      <c r="F82" t="s">
        <v>174</v>
      </c>
      <c r="G82" t="s">
        <v>147</v>
      </c>
      <c r="H82" t="s">
        <v>30</v>
      </c>
      <c r="I82" t="s">
        <v>81</v>
      </c>
      <c r="J82">
        <v>13</v>
      </c>
      <c r="K82" s="3">
        <v>2110</v>
      </c>
      <c r="L82" s="3">
        <v>27430</v>
      </c>
      <c r="M82" s="3">
        <v>12090</v>
      </c>
      <c r="N82" s="3">
        <v>15340</v>
      </c>
      <c r="O82" s="4">
        <v>0.559241706161137</v>
      </c>
      <c r="P82" t="s">
        <v>165</v>
      </c>
      <c r="Q82" t="s">
        <v>153</v>
      </c>
      <c r="R82" s="3">
        <v>28500</v>
      </c>
      <c r="S82" s="4">
        <v>0.962456140350877</v>
      </c>
      <c r="T82" s="4">
        <v>0.00784280540078612</v>
      </c>
      <c r="U82" t="s">
        <v>116</v>
      </c>
      <c r="V82" s="4">
        <v>0.03</v>
      </c>
      <c r="W82">
        <v>4.2</v>
      </c>
    </row>
    <row r="83" spans="1:23">
      <c r="A83" t="s">
        <v>260</v>
      </c>
      <c r="B83" s="2">
        <v>45865</v>
      </c>
      <c r="C83" t="s">
        <v>39</v>
      </c>
      <c r="D83" t="s">
        <v>69</v>
      </c>
      <c r="E83" t="s">
        <v>29</v>
      </c>
      <c r="F83" t="s">
        <v>151</v>
      </c>
      <c r="G83" t="s">
        <v>76</v>
      </c>
      <c r="H83" t="s">
        <v>27</v>
      </c>
      <c r="I83" t="s">
        <v>162</v>
      </c>
      <c r="J83">
        <v>1</v>
      </c>
      <c r="K83" s="3">
        <v>17990</v>
      </c>
      <c r="L83" s="3">
        <v>17990</v>
      </c>
      <c r="M83" s="3">
        <v>12600</v>
      </c>
      <c r="N83" s="3">
        <v>5390</v>
      </c>
      <c r="O83" s="4">
        <v>0.299610894941634</v>
      </c>
      <c r="P83" t="s">
        <v>101</v>
      </c>
      <c r="Q83" t="s">
        <v>104</v>
      </c>
      <c r="R83" s="3">
        <v>18500</v>
      </c>
      <c r="S83" s="4">
        <v>0.972432432432432</v>
      </c>
      <c r="T83" s="4">
        <v>0.156335423962774</v>
      </c>
      <c r="U83" t="s">
        <v>116</v>
      </c>
      <c r="V83" s="4">
        <v>0.08</v>
      </c>
      <c r="W83">
        <v>4.4</v>
      </c>
    </row>
    <row r="84" spans="1:23">
      <c r="A84" t="s">
        <v>261</v>
      </c>
      <c r="B84" s="2">
        <v>45912</v>
      </c>
      <c r="C84" t="s">
        <v>41</v>
      </c>
      <c r="D84" t="s">
        <v>69</v>
      </c>
      <c r="E84" t="s">
        <v>26</v>
      </c>
      <c r="F84" t="s">
        <v>146</v>
      </c>
      <c r="G84" t="s">
        <v>147</v>
      </c>
      <c r="H84" t="s">
        <v>30</v>
      </c>
      <c r="I84" t="s">
        <v>216</v>
      </c>
      <c r="J84">
        <v>9</v>
      </c>
      <c r="K84" s="3">
        <v>5370</v>
      </c>
      <c r="L84" s="3">
        <v>48330</v>
      </c>
      <c r="M84" s="3">
        <v>26280</v>
      </c>
      <c r="N84" s="3">
        <v>22050</v>
      </c>
      <c r="O84" s="4">
        <v>0.456238361266294</v>
      </c>
      <c r="P84" t="s">
        <v>165</v>
      </c>
      <c r="Q84" t="s">
        <v>153</v>
      </c>
      <c r="R84" s="3">
        <v>50100</v>
      </c>
      <c r="S84" s="4">
        <v>0.964670658682635</v>
      </c>
      <c r="T84" s="4">
        <v>0.0524625525874922</v>
      </c>
      <c r="U84" t="s">
        <v>116</v>
      </c>
      <c r="V84" s="4">
        <v>0.05</v>
      </c>
      <c r="W84">
        <v>3.6</v>
      </c>
    </row>
    <row r="85" spans="1:23">
      <c r="A85" t="s">
        <v>262</v>
      </c>
      <c r="B85" s="2">
        <v>45681</v>
      </c>
      <c r="C85" t="s">
        <v>33</v>
      </c>
      <c r="D85" t="s">
        <v>159</v>
      </c>
      <c r="E85" t="s">
        <v>24</v>
      </c>
      <c r="F85" t="s">
        <v>196</v>
      </c>
      <c r="G85" t="s">
        <v>180</v>
      </c>
      <c r="H85" t="s">
        <v>25</v>
      </c>
      <c r="I85" t="s">
        <v>218</v>
      </c>
      <c r="J85">
        <v>4</v>
      </c>
      <c r="K85" s="3">
        <v>28870</v>
      </c>
      <c r="L85" s="3">
        <v>115480</v>
      </c>
      <c r="M85" s="3">
        <v>91200</v>
      </c>
      <c r="N85" s="3">
        <v>24280</v>
      </c>
      <c r="O85" s="4">
        <v>0.210252857637686</v>
      </c>
      <c r="P85" t="s">
        <v>101</v>
      </c>
      <c r="Q85" t="s">
        <v>104</v>
      </c>
      <c r="R85" s="3">
        <v>115400</v>
      </c>
      <c r="S85" s="4">
        <v>1.00069324090121</v>
      </c>
      <c r="T85" s="4">
        <v>0.165348471856859</v>
      </c>
      <c r="U85" t="s">
        <v>116</v>
      </c>
      <c r="V85" s="4">
        <v>0.08</v>
      </c>
      <c r="W85">
        <v>4.3</v>
      </c>
    </row>
    <row r="86" spans="1:23">
      <c r="A86" t="s">
        <v>263</v>
      </c>
      <c r="B86" s="2">
        <v>46009</v>
      </c>
      <c r="C86" t="s">
        <v>44</v>
      </c>
      <c r="D86" t="s">
        <v>145</v>
      </c>
      <c r="E86" t="s">
        <v>28</v>
      </c>
      <c r="F86" t="s">
        <v>177</v>
      </c>
      <c r="G86" t="s">
        <v>168</v>
      </c>
      <c r="H86" t="s">
        <v>30</v>
      </c>
      <c r="I86" t="s">
        <v>216</v>
      </c>
      <c r="J86">
        <v>6</v>
      </c>
      <c r="K86" s="3">
        <v>5890</v>
      </c>
      <c r="L86" s="3">
        <v>35340</v>
      </c>
      <c r="M86" s="3">
        <v>17520</v>
      </c>
      <c r="N86" s="3">
        <v>17820</v>
      </c>
      <c r="O86" s="4">
        <v>0.504244482173175</v>
      </c>
      <c r="P86" t="s">
        <v>101</v>
      </c>
      <c r="Q86" t="s">
        <v>153</v>
      </c>
      <c r="R86" s="3">
        <v>36100</v>
      </c>
      <c r="S86" s="4">
        <v>0.978947368421053</v>
      </c>
      <c r="T86" s="4">
        <v>0.161613158758542</v>
      </c>
      <c r="U86" t="s">
        <v>211</v>
      </c>
      <c r="V86" s="4">
        <v>0</v>
      </c>
      <c r="W86">
        <v>4.5</v>
      </c>
    </row>
    <row r="87" spans="1:23">
      <c r="A87" t="s">
        <v>264</v>
      </c>
      <c r="B87" s="2">
        <v>45973</v>
      </c>
      <c r="C87" t="s">
        <v>43</v>
      </c>
      <c r="D87" t="s">
        <v>145</v>
      </c>
      <c r="E87" t="s">
        <v>24</v>
      </c>
      <c r="F87" t="s">
        <v>160</v>
      </c>
      <c r="G87" t="s">
        <v>161</v>
      </c>
      <c r="H87" t="s">
        <v>25</v>
      </c>
      <c r="I87" t="s">
        <v>152</v>
      </c>
      <c r="J87">
        <v>7</v>
      </c>
      <c r="K87" s="3">
        <v>26360</v>
      </c>
      <c r="L87" s="3">
        <v>184520</v>
      </c>
      <c r="M87" s="3">
        <v>128800</v>
      </c>
      <c r="N87" s="3">
        <v>55720</v>
      </c>
      <c r="O87" s="4">
        <v>0.301972685887709</v>
      </c>
      <c r="P87" t="s">
        <v>101</v>
      </c>
      <c r="Q87" t="s">
        <v>153</v>
      </c>
      <c r="R87" s="3">
        <v>203200</v>
      </c>
      <c r="S87" s="4">
        <v>0.908070866141732</v>
      </c>
      <c r="T87" s="4">
        <v>-0.0685148732805481</v>
      </c>
      <c r="U87" t="s">
        <v>116</v>
      </c>
      <c r="V87" s="4">
        <v>0</v>
      </c>
      <c r="W87">
        <v>4.4</v>
      </c>
    </row>
    <row r="88" spans="1:23">
      <c r="A88" t="s">
        <v>265</v>
      </c>
      <c r="B88" s="2">
        <v>45829</v>
      </c>
      <c r="C88" t="s">
        <v>38</v>
      </c>
      <c r="D88" t="s">
        <v>150</v>
      </c>
      <c r="E88" t="s">
        <v>29</v>
      </c>
      <c r="F88" t="s">
        <v>73</v>
      </c>
      <c r="G88" t="s">
        <v>76</v>
      </c>
      <c r="H88" t="s">
        <v>4</v>
      </c>
      <c r="I88" t="s">
        <v>189</v>
      </c>
      <c r="J88">
        <v>14</v>
      </c>
      <c r="K88" s="3">
        <v>14870</v>
      </c>
      <c r="L88" s="3">
        <v>208180</v>
      </c>
      <c r="M88" s="3">
        <v>145600</v>
      </c>
      <c r="N88" s="3">
        <v>62580</v>
      </c>
      <c r="O88" s="4">
        <v>0.300605245460659</v>
      </c>
      <c r="P88" t="s">
        <v>165</v>
      </c>
      <c r="Q88" t="s">
        <v>153</v>
      </c>
      <c r="R88" s="3">
        <v>200500</v>
      </c>
      <c r="S88" s="4">
        <v>1.0383042394015</v>
      </c>
      <c r="T88" s="4">
        <v>0.0070662550434684</v>
      </c>
      <c r="U88" t="s">
        <v>116</v>
      </c>
      <c r="V88" s="4">
        <v>0.08</v>
      </c>
      <c r="W88">
        <v>4.9</v>
      </c>
    </row>
    <row r="89" spans="1:23">
      <c r="A89" t="s">
        <v>266</v>
      </c>
      <c r="B89" s="2">
        <v>45994</v>
      </c>
      <c r="C89" t="s">
        <v>44</v>
      </c>
      <c r="D89" t="s">
        <v>145</v>
      </c>
      <c r="E89" t="s">
        <v>26</v>
      </c>
      <c r="F89" t="s">
        <v>146</v>
      </c>
      <c r="G89" t="s">
        <v>147</v>
      </c>
      <c r="H89" t="s">
        <v>4</v>
      </c>
      <c r="I89" t="s">
        <v>189</v>
      </c>
      <c r="J89">
        <v>15</v>
      </c>
      <c r="K89" s="3">
        <v>16530</v>
      </c>
      <c r="L89" s="3">
        <v>247950</v>
      </c>
      <c r="M89" s="3">
        <v>156000</v>
      </c>
      <c r="N89" s="3">
        <v>91950</v>
      </c>
      <c r="O89" s="4">
        <v>0.370840895341803</v>
      </c>
      <c r="P89" t="s">
        <v>101</v>
      </c>
      <c r="Q89" t="s">
        <v>153</v>
      </c>
      <c r="R89" s="3">
        <v>244500</v>
      </c>
      <c r="S89" s="4">
        <v>1.01411042944785</v>
      </c>
      <c r="T89" s="4">
        <v>0.132910021911712</v>
      </c>
      <c r="U89" t="s">
        <v>193</v>
      </c>
      <c r="V89" s="4">
        <v>0</v>
      </c>
      <c r="W89">
        <v>4.5</v>
      </c>
    </row>
    <row r="90" spans="1:23">
      <c r="A90" t="s">
        <v>267</v>
      </c>
      <c r="B90" s="2">
        <v>45823</v>
      </c>
      <c r="C90" t="s">
        <v>38</v>
      </c>
      <c r="D90" t="s">
        <v>150</v>
      </c>
      <c r="E90" t="s">
        <v>28</v>
      </c>
      <c r="F90" t="s">
        <v>155</v>
      </c>
      <c r="G90" t="s">
        <v>168</v>
      </c>
      <c r="H90" t="s">
        <v>4</v>
      </c>
      <c r="I90" t="s">
        <v>189</v>
      </c>
      <c r="J90">
        <v>9</v>
      </c>
      <c r="K90" s="3">
        <v>16260</v>
      </c>
      <c r="L90" s="3">
        <v>146340</v>
      </c>
      <c r="M90" s="3">
        <v>93600</v>
      </c>
      <c r="N90" s="3">
        <v>52740</v>
      </c>
      <c r="O90" s="4">
        <v>0.360393603936039</v>
      </c>
      <c r="P90" t="s">
        <v>101</v>
      </c>
      <c r="Q90" t="s">
        <v>104</v>
      </c>
      <c r="R90" s="3">
        <v>156900</v>
      </c>
      <c r="S90" s="4">
        <v>0.932695984703633</v>
      </c>
      <c r="T90" s="4">
        <v>0.121046734942399</v>
      </c>
      <c r="U90" t="s">
        <v>116</v>
      </c>
      <c r="V90" s="4">
        <v>0.05</v>
      </c>
      <c r="W90">
        <v>4</v>
      </c>
    </row>
    <row r="91" spans="1:23">
      <c r="A91" t="s">
        <v>268</v>
      </c>
      <c r="B91" s="2">
        <v>45772</v>
      </c>
      <c r="C91" t="s">
        <v>36</v>
      </c>
      <c r="D91" t="s">
        <v>150</v>
      </c>
      <c r="E91" t="s">
        <v>24</v>
      </c>
      <c r="F91" t="s">
        <v>179</v>
      </c>
      <c r="G91" t="s">
        <v>180</v>
      </c>
      <c r="H91" t="s">
        <v>25</v>
      </c>
      <c r="I91" t="s">
        <v>152</v>
      </c>
      <c r="J91">
        <v>1</v>
      </c>
      <c r="K91" s="3">
        <v>25970</v>
      </c>
      <c r="L91" s="3">
        <v>25970</v>
      </c>
      <c r="M91" s="3">
        <v>18400</v>
      </c>
      <c r="N91" s="3">
        <v>7570</v>
      </c>
      <c r="O91" s="4">
        <v>0.291490180978052</v>
      </c>
      <c r="P91" t="s">
        <v>101</v>
      </c>
      <c r="Q91" t="s">
        <v>104</v>
      </c>
      <c r="R91" s="3">
        <v>27700</v>
      </c>
      <c r="S91" s="4">
        <v>0.937545126353791</v>
      </c>
      <c r="T91" s="4">
        <v>0.00777088735615213</v>
      </c>
      <c r="U91" t="s">
        <v>116</v>
      </c>
      <c r="V91" s="4">
        <v>0</v>
      </c>
      <c r="W91">
        <v>3.9</v>
      </c>
    </row>
    <row r="92" spans="1:23">
      <c r="A92" t="s">
        <v>269</v>
      </c>
      <c r="B92" s="2">
        <v>45948</v>
      </c>
      <c r="C92" t="s">
        <v>42</v>
      </c>
      <c r="D92" t="s">
        <v>145</v>
      </c>
      <c r="E92" t="s">
        <v>28</v>
      </c>
      <c r="F92" t="s">
        <v>177</v>
      </c>
      <c r="G92" t="s">
        <v>168</v>
      </c>
      <c r="H92" t="s">
        <v>4</v>
      </c>
      <c r="I92" t="s">
        <v>184</v>
      </c>
      <c r="J92">
        <v>8</v>
      </c>
      <c r="K92" s="3">
        <v>13040</v>
      </c>
      <c r="L92" s="3">
        <v>104320</v>
      </c>
      <c r="M92" s="3">
        <v>66000</v>
      </c>
      <c r="N92" s="3">
        <v>38320</v>
      </c>
      <c r="O92" s="4">
        <v>0.367331288343558</v>
      </c>
      <c r="P92" t="s">
        <v>101</v>
      </c>
      <c r="Q92" t="s">
        <v>153</v>
      </c>
      <c r="R92" s="3">
        <v>101400</v>
      </c>
      <c r="S92" s="4">
        <v>1.02879684418146</v>
      </c>
      <c r="T92" s="4">
        <v>0.188285633513243</v>
      </c>
      <c r="U92" t="s">
        <v>116</v>
      </c>
      <c r="V92" s="4">
        <v>0.03</v>
      </c>
      <c r="W92">
        <v>3.8</v>
      </c>
    </row>
    <row r="93" spans="1:23">
      <c r="A93" t="s">
        <v>270</v>
      </c>
      <c r="B93" s="2">
        <v>45883</v>
      </c>
      <c r="C93" t="s">
        <v>40</v>
      </c>
      <c r="D93" t="s">
        <v>69</v>
      </c>
      <c r="E93" t="s">
        <v>28</v>
      </c>
      <c r="F93" t="s">
        <v>177</v>
      </c>
      <c r="G93" t="s">
        <v>156</v>
      </c>
      <c r="H93" t="s">
        <v>25</v>
      </c>
      <c r="I93" t="s">
        <v>218</v>
      </c>
      <c r="J93">
        <v>8</v>
      </c>
      <c r="K93" s="3">
        <v>32200</v>
      </c>
      <c r="L93" s="3">
        <v>257600</v>
      </c>
      <c r="M93" s="3">
        <v>182400</v>
      </c>
      <c r="N93" s="3">
        <v>75200</v>
      </c>
      <c r="O93" s="4">
        <v>0.291925465838509</v>
      </c>
      <c r="P93" t="s">
        <v>101</v>
      </c>
      <c r="Q93" t="s">
        <v>104</v>
      </c>
      <c r="R93" s="3">
        <v>274300</v>
      </c>
      <c r="S93" s="4">
        <v>0.939117754283631</v>
      </c>
      <c r="T93" s="4">
        <v>-0.0645587834797443</v>
      </c>
      <c r="U93" t="s">
        <v>116</v>
      </c>
      <c r="V93" s="4">
        <v>0</v>
      </c>
      <c r="W93">
        <v>3.9</v>
      </c>
    </row>
    <row r="94" spans="1:23">
      <c r="A94" t="s">
        <v>271</v>
      </c>
      <c r="B94" s="2">
        <v>45856</v>
      </c>
      <c r="C94" t="s">
        <v>39</v>
      </c>
      <c r="D94" t="s">
        <v>69</v>
      </c>
      <c r="E94" t="s">
        <v>29</v>
      </c>
      <c r="F94" t="s">
        <v>183</v>
      </c>
      <c r="G94" t="s">
        <v>76</v>
      </c>
      <c r="H94" t="s">
        <v>4</v>
      </c>
      <c r="I94" t="s">
        <v>184</v>
      </c>
      <c r="J94">
        <v>1</v>
      </c>
      <c r="K94" s="3">
        <v>12750</v>
      </c>
      <c r="L94" s="3">
        <v>12750</v>
      </c>
      <c r="M94" s="3">
        <v>8250</v>
      </c>
      <c r="N94" s="3">
        <v>4500</v>
      </c>
      <c r="O94" s="4">
        <v>0.352941176470588</v>
      </c>
      <c r="P94" t="s">
        <v>165</v>
      </c>
      <c r="Q94" t="s">
        <v>104</v>
      </c>
      <c r="R94" s="3">
        <v>12500</v>
      </c>
      <c r="S94" s="4">
        <v>1.02</v>
      </c>
      <c r="T94" s="4">
        <v>0.0410317130377181</v>
      </c>
      <c r="U94" t="s">
        <v>211</v>
      </c>
      <c r="V94" s="4">
        <v>0.08</v>
      </c>
      <c r="W94">
        <v>4.4</v>
      </c>
    </row>
    <row r="95" spans="1:23">
      <c r="A95" t="s">
        <v>272</v>
      </c>
      <c r="B95" s="2">
        <v>45877</v>
      </c>
      <c r="C95" t="s">
        <v>40</v>
      </c>
      <c r="D95" t="s">
        <v>69</v>
      </c>
      <c r="E95" t="s">
        <v>28</v>
      </c>
      <c r="F95" t="s">
        <v>167</v>
      </c>
      <c r="G95" t="s">
        <v>156</v>
      </c>
      <c r="H95" t="s">
        <v>25</v>
      </c>
      <c r="I95" t="s">
        <v>218</v>
      </c>
      <c r="J95">
        <v>16</v>
      </c>
      <c r="K95" s="3">
        <v>33320</v>
      </c>
      <c r="L95" s="3">
        <v>533120</v>
      </c>
      <c r="M95" s="3">
        <v>364800</v>
      </c>
      <c r="N95" s="3">
        <v>168320</v>
      </c>
      <c r="O95" s="4">
        <v>0.315726290516206</v>
      </c>
      <c r="P95" t="s">
        <v>101</v>
      </c>
      <c r="Q95" t="s">
        <v>104</v>
      </c>
      <c r="R95" s="3">
        <v>499000</v>
      </c>
      <c r="S95" s="4">
        <v>1.06837675350701</v>
      </c>
      <c r="T95" s="4">
        <v>-0.023318108275771</v>
      </c>
      <c r="U95" t="s">
        <v>116</v>
      </c>
      <c r="V95" s="4">
        <v>0</v>
      </c>
      <c r="W95">
        <v>3.9</v>
      </c>
    </row>
    <row r="96" spans="1:23">
      <c r="A96" t="s">
        <v>273</v>
      </c>
      <c r="B96" s="2">
        <v>45658</v>
      </c>
      <c r="C96" t="s">
        <v>33</v>
      </c>
      <c r="D96" t="s">
        <v>159</v>
      </c>
      <c r="E96" t="s">
        <v>28</v>
      </c>
      <c r="F96" t="s">
        <v>177</v>
      </c>
      <c r="G96" t="s">
        <v>156</v>
      </c>
      <c r="H96" t="s">
        <v>4</v>
      </c>
      <c r="I96" t="s">
        <v>172</v>
      </c>
      <c r="J96">
        <v>10</v>
      </c>
      <c r="K96" s="3">
        <v>10700</v>
      </c>
      <c r="L96" s="3">
        <v>107000</v>
      </c>
      <c r="M96" s="3">
        <v>71000</v>
      </c>
      <c r="N96" s="3">
        <v>36000</v>
      </c>
      <c r="O96" s="4">
        <v>0.336448598130841</v>
      </c>
      <c r="P96" t="s">
        <v>101</v>
      </c>
      <c r="Q96" t="s">
        <v>104</v>
      </c>
      <c r="R96" s="3">
        <v>119200</v>
      </c>
      <c r="S96" s="4">
        <v>0.897651006711409</v>
      </c>
      <c r="T96" s="4">
        <v>0.0153050287916475</v>
      </c>
      <c r="U96" t="s">
        <v>116</v>
      </c>
      <c r="V96" s="4">
        <v>0.08</v>
      </c>
      <c r="W96">
        <v>5</v>
      </c>
    </row>
    <row r="97" spans="1:23">
      <c r="A97" t="s">
        <v>274</v>
      </c>
      <c r="B97" s="2">
        <v>45961</v>
      </c>
      <c r="C97" t="s">
        <v>42</v>
      </c>
      <c r="D97" t="s">
        <v>145</v>
      </c>
      <c r="E97" t="s">
        <v>26</v>
      </c>
      <c r="F97" t="s">
        <v>146</v>
      </c>
      <c r="G97" t="s">
        <v>147</v>
      </c>
      <c r="H97" t="s">
        <v>4</v>
      </c>
      <c r="I97" t="s">
        <v>184</v>
      </c>
      <c r="J97">
        <v>15</v>
      </c>
      <c r="K97" s="3">
        <v>13920</v>
      </c>
      <c r="L97" s="3">
        <v>208800</v>
      </c>
      <c r="M97" s="3">
        <v>123750</v>
      </c>
      <c r="N97" s="3">
        <v>85050</v>
      </c>
      <c r="O97" s="4">
        <v>0.407327586206897</v>
      </c>
      <c r="P97" t="s">
        <v>165</v>
      </c>
      <c r="Q97" t="s">
        <v>104</v>
      </c>
      <c r="R97" s="3">
        <v>243300</v>
      </c>
      <c r="S97" s="4">
        <v>0.858199753390876</v>
      </c>
      <c r="T97" s="4">
        <v>0.135349862142573</v>
      </c>
      <c r="U97" t="s">
        <v>116</v>
      </c>
      <c r="V97" s="4">
        <v>0</v>
      </c>
      <c r="W97">
        <v>4.1</v>
      </c>
    </row>
    <row r="98" spans="1:23">
      <c r="A98" t="s">
        <v>275</v>
      </c>
      <c r="B98" s="2">
        <v>45817</v>
      </c>
      <c r="C98" t="s">
        <v>38</v>
      </c>
      <c r="D98" t="s">
        <v>150</v>
      </c>
      <c r="E98" t="s">
        <v>24</v>
      </c>
      <c r="F98" t="s">
        <v>196</v>
      </c>
      <c r="G98" t="s">
        <v>180</v>
      </c>
      <c r="H98" t="s">
        <v>4</v>
      </c>
      <c r="I98" t="s">
        <v>184</v>
      </c>
      <c r="J98">
        <v>3</v>
      </c>
      <c r="K98" s="3">
        <v>13850</v>
      </c>
      <c r="L98" s="3">
        <v>41550</v>
      </c>
      <c r="M98" s="3">
        <v>24750</v>
      </c>
      <c r="N98" s="3">
        <v>16800</v>
      </c>
      <c r="O98" s="4">
        <v>0.404332129963899</v>
      </c>
      <c r="P98" t="s">
        <v>101</v>
      </c>
      <c r="Q98" t="s">
        <v>153</v>
      </c>
      <c r="R98" s="3">
        <v>37800</v>
      </c>
      <c r="S98" s="4">
        <v>1.09920634920635</v>
      </c>
      <c r="T98" s="4">
        <v>-0.0098299157259735</v>
      </c>
      <c r="U98" t="s">
        <v>211</v>
      </c>
      <c r="V98" s="4">
        <v>0</v>
      </c>
      <c r="W98">
        <v>4.1</v>
      </c>
    </row>
    <row r="99" spans="1:23">
      <c r="A99" t="s">
        <v>276</v>
      </c>
      <c r="B99" s="2">
        <v>45749</v>
      </c>
      <c r="C99" t="s">
        <v>36</v>
      </c>
      <c r="D99" t="s">
        <v>150</v>
      </c>
      <c r="E99" t="s">
        <v>28</v>
      </c>
      <c r="F99" t="s">
        <v>167</v>
      </c>
      <c r="G99" t="s">
        <v>168</v>
      </c>
      <c r="H99" t="s">
        <v>4</v>
      </c>
      <c r="I99" t="s">
        <v>184</v>
      </c>
      <c r="J99">
        <v>13</v>
      </c>
      <c r="K99" s="3">
        <v>12960</v>
      </c>
      <c r="L99" s="3">
        <v>168480</v>
      </c>
      <c r="M99" s="3">
        <v>107250</v>
      </c>
      <c r="N99" s="3">
        <v>61230</v>
      </c>
      <c r="O99" s="4">
        <v>0.363425925925926</v>
      </c>
      <c r="P99" t="s">
        <v>101</v>
      </c>
      <c r="Q99" t="s">
        <v>104</v>
      </c>
      <c r="R99" s="3">
        <v>172900</v>
      </c>
      <c r="S99" s="4">
        <v>0.974436090225564</v>
      </c>
      <c r="T99" s="4">
        <v>0.0188958566824349</v>
      </c>
      <c r="U99" t="s">
        <v>193</v>
      </c>
      <c r="V99" s="4">
        <v>0.08</v>
      </c>
      <c r="W99">
        <v>3.6</v>
      </c>
    </row>
    <row r="100" spans="1:23">
      <c r="A100" t="s">
        <v>277</v>
      </c>
      <c r="B100" s="2">
        <v>45746</v>
      </c>
      <c r="C100" t="s">
        <v>35</v>
      </c>
      <c r="D100" t="s">
        <v>159</v>
      </c>
      <c r="E100" t="s">
        <v>29</v>
      </c>
      <c r="F100" t="s">
        <v>183</v>
      </c>
      <c r="G100" t="s">
        <v>76</v>
      </c>
      <c r="H100" t="s">
        <v>30</v>
      </c>
      <c r="I100" t="s">
        <v>81</v>
      </c>
      <c r="J100">
        <v>1</v>
      </c>
      <c r="K100" s="3">
        <v>2140</v>
      </c>
      <c r="L100" s="3">
        <v>2140</v>
      </c>
      <c r="M100" s="3">
        <v>930</v>
      </c>
      <c r="N100" s="3">
        <v>1210</v>
      </c>
      <c r="O100" s="4">
        <v>0.565420560747664</v>
      </c>
      <c r="P100" t="s">
        <v>101</v>
      </c>
      <c r="Q100" t="s">
        <v>104</v>
      </c>
      <c r="R100" s="3">
        <v>2200</v>
      </c>
      <c r="S100" s="4">
        <v>0.972727272727273</v>
      </c>
      <c r="T100" s="4">
        <v>0.132649468645736</v>
      </c>
      <c r="U100" t="s">
        <v>116</v>
      </c>
      <c r="V100" s="4">
        <v>0</v>
      </c>
      <c r="W100">
        <v>4.1</v>
      </c>
    </row>
    <row r="101" spans="1:23">
      <c r="A101" t="s">
        <v>278</v>
      </c>
      <c r="B101" s="2">
        <v>45860</v>
      </c>
      <c r="C101" t="s">
        <v>39</v>
      </c>
      <c r="D101" t="s">
        <v>69</v>
      </c>
      <c r="E101" t="s">
        <v>24</v>
      </c>
      <c r="F101" t="s">
        <v>160</v>
      </c>
      <c r="G101" t="s">
        <v>180</v>
      </c>
      <c r="H101" t="s">
        <v>25</v>
      </c>
      <c r="I101" t="s">
        <v>152</v>
      </c>
      <c r="J101">
        <v>11</v>
      </c>
      <c r="K101" s="3">
        <v>24610</v>
      </c>
      <c r="L101" s="3">
        <v>270710</v>
      </c>
      <c r="M101" s="3">
        <v>202400</v>
      </c>
      <c r="N101" s="3">
        <v>68310</v>
      </c>
      <c r="O101" s="4">
        <v>0.252336448598131</v>
      </c>
      <c r="P101" t="s">
        <v>165</v>
      </c>
      <c r="Q101" t="s">
        <v>104</v>
      </c>
      <c r="R101" s="3">
        <v>290100</v>
      </c>
      <c r="S101" s="4">
        <v>0.933160978972768</v>
      </c>
      <c r="T101" s="4">
        <v>0.114819036889866</v>
      </c>
      <c r="U101" t="s">
        <v>116</v>
      </c>
      <c r="V101" s="4">
        <v>0.05</v>
      </c>
      <c r="W101">
        <v>3.6</v>
      </c>
    </row>
    <row r="102" spans="1:23">
      <c r="A102" t="s">
        <v>279</v>
      </c>
      <c r="B102" s="2">
        <v>45775</v>
      </c>
      <c r="C102" t="s">
        <v>36</v>
      </c>
      <c r="D102" t="s">
        <v>150</v>
      </c>
      <c r="E102" t="s">
        <v>28</v>
      </c>
      <c r="F102" t="s">
        <v>177</v>
      </c>
      <c r="G102" t="s">
        <v>168</v>
      </c>
      <c r="H102" t="s">
        <v>4</v>
      </c>
      <c r="I102" t="s">
        <v>189</v>
      </c>
      <c r="J102">
        <v>5</v>
      </c>
      <c r="K102" s="3">
        <v>15520</v>
      </c>
      <c r="L102" s="3">
        <v>77600</v>
      </c>
      <c r="M102" s="3">
        <v>52000</v>
      </c>
      <c r="N102" s="3">
        <v>25600</v>
      </c>
      <c r="O102" s="4">
        <v>0.329896907216495</v>
      </c>
      <c r="P102" t="s">
        <v>101</v>
      </c>
      <c r="Q102" t="s">
        <v>153</v>
      </c>
      <c r="R102" s="3">
        <v>82000</v>
      </c>
      <c r="S102" s="4">
        <v>0.946341463414634</v>
      </c>
      <c r="T102" s="4">
        <v>0.157418565189866</v>
      </c>
      <c r="U102" t="s">
        <v>116</v>
      </c>
      <c r="V102" s="4">
        <v>0.08</v>
      </c>
      <c r="W102">
        <v>3.4</v>
      </c>
    </row>
    <row r="103" spans="1:23">
      <c r="A103" t="s">
        <v>280</v>
      </c>
      <c r="B103" s="2">
        <v>45919</v>
      </c>
      <c r="C103" t="s">
        <v>41</v>
      </c>
      <c r="D103" t="s">
        <v>69</v>
      </c>
      <c r="E103" t="s">
        <v>26</v>
      </c>
      <c r="F103" t="s">
        <v>171</v>
      </c>
      <c r="G103" t="s">
        <v>147</v>
      </c>
      <c r="H103" t="s">
        <v>4</v>
      </c>
      <c r="I103" t="s">
        <v>184</v>
      </c>
      <c r="J103">
        <v>9</v>
      </c>
      <c r="K103" s="3">
        <v>13260</v>
      </c>
      <c r="L103" s="3">
        <v>119340</v>
      </c>
      <c r="M103" s="3">
        <v>74250</v>
      </c>
      <c r="N103" s="3">
        <v>45090</v>
      </c>
      <c r="O103" s="4">
        <v>0.377828054298643</v>
      </c>
      <c r="P103" t="s">
        <v>101</v>
      </c>
      <c r="Q103" t="s">
        <v>104</v>
      </c>
      <c r="R103" s="3">
        <v>140500</v>
      </c>
      <c r="S103" s="4">
        <v>0.849395017793594</v>
      </c>
      <c r="T103" s="4">
        <v>0.127939933738062</v>
      </c>
      <c r="U103" t="s">
        <v>116</v>
      </c>
      <c r="V103" s="4">
        <v>0</v>
      </c>
      <c r="W103">
        <v>4.2</v>
      </c>
    </row>
    <row r="104" spans="1:23">
      <c r="A104" t="s">
        <v>281</v>
      </c>
      <c r="B104" s="2">
        <v>46019</v>
      </c>
      <c r="C104" t="s">
        <v>44</v>
      </c>
      <c r="D104" t="s">
        <v>145</v>
      </c>
      <c r="E104" t="s">
        <v>28</v>
      </c>
      <c r="F104" t="s">
        <v>155</v>
      </c>
      <c r="G104" t="s">
        <v>168</v>
      </c>
      <c r="H104" t="s">
        <v>30</v>
      </c>
      <c r="I104" t="s">
        <v>169</v>
      </c>
      <c r="J104">
        <v>9</v>
      </c>
      <c r="K104" s="3">
        <v>3920</v>
      </c>
      <c r="L104" s="3">
        <v>35280</v>
      </c>
      <c r="M104" s="3">
        <v>15840</v>
      </c>
      <c r="N104" s="3">
        <v>19440</v>
      </c>
      <c r="O104" s="4">
        <v>0.551020408163265</v>
      </c>
      <c r="P104" t="s">
        <v>101</v>
      </c>
      <c r="Q104" t="s">
        <v>104</v>
      </c>
      <c r="R104" s="3">
        <v>33500</v>
      </c>
      <c r="S104" s="4">
        <v>1.05313432835821</v>
      </c>
      <c r="T104" s="4">
        <v>0.18364419161365</v>
      </c>
      <c r="U104" t="s">
        <v>116</v>
      </c>
      <c r="V104" s="4">
        <v>0.03</v>
      </c>
      <c r="W104">
        <v>5</v>
      </c>
    </row>
    <row r="105" spans="1:23">
      <c r="A105" t="s">
        <v>282</v>
      </c>
      <c r="B105" s="2">
        <v>45770</v>
      </c>
      <c r="C105" t="s">
        <v>36</v>
      </c>
      <c r="D105" t="s">
        <v>150</v>
      </c>
      <c r="E105" t="s">
        <v>26</v>
      </c>
      <c r="F105" t="s">
        <v>171</v>
      </c>
      <c r="G105" t="s">
        <v>147</v>
      </c>
      <c r="H105" t="s">
        <v>30</v>
      </c>
      <c r="I105" t="s">
        <v>81</v>
      </c>
      <c r="J105">
        <v>2</v>
      </c>
      <c r="K105" s="3">
        <v>2100</v>
      </c>
      <c r="L105" s="3">
        <v>4200</v>
      </c>
      <c r="M105" s="3">
        <v>1860</v>
      </c>
      <c r="N105" s="3">
        <v>2340</v>
      </c>
      <c r="O105" s="4">
        <v>0.557142857142857</v>
      </c>
      <c r="P105" t="s">
        <v>101</v>
      </c>
      <c r="Q105" t="s">
        <v>104</v>
      </c>
      <c r="R105" s="3">
        <v>4100</v>
      </c>
      <c r="S105" s="4">
        <v>1.02439024390244</v>
      </c>
      <c r="T105" s="4">
        <v>-0.0512744834603722</v>
      </c>
      <c r="U105" t="s">
        <v>116</v>
      </c>
      <c r="V105" s="4">
        <v>0.03</v>
      </c>
      <c r="W105">
        <v>3.5</v>
      </c>
    </row>
    <row r="106" spans="1:23">
      <c r="A106" t="s">
        <v>283</v>
      </c>
      <c r="B106" s="2">
        <v>45950</v>
      </c>
      <c r="C106" t="s">
        <v>42</v>
      </c>
      <c r="D106" t="s">
        <v>145</v>
      </c>
      <c r="E106" t="s">
        <v>24</v>
      </c>
      <c r="F106" t="s">
        <v>179</v>
      </c>
      <c r="G106" t="s">
        <v>180</v>
      </c>
      <c r="H106" t="s">
        <v>25</v>
      </c>
      <c r="I106" t="s">
        <v>218</v>
      </c>
      <c r="J106">
        <v>5</v>
      </c>
      <c r="K106" s="3">
        <v>32260</v>
      </c>
      <c r="L106" s="3">
        <v>161300</v>
      </c>
      <c r="M106" s="3">
        <v>114000</v>
      </c>
      <c r="N106" s="3">
        <v>47300</v>
      </c>
      <c r="O106" s="4">
        <v>0.293242405455673</v>
      </c>
      <c r="P106" t="s">
        <v>101</v>
      </c>
      <c r="Q106" t="s">
        <v>153</v>
      </c>
      <c r="R106" s="3">
        <v>156000</v>
      </c>
      <c r="S106" s="4">
        <v>1.03397435897436</v>
      </c>
      <c r="T106" s="4">
        <v>-0.053983597637205</v>
      </c>
      <c r="U106" t="s">
        <v>116</v>
      </c>
      <c r="V106" s="4">
        <v>0</v>
      </c>
      <c r="W106">
        <v>5</v>
      </c>
    </row>
    <row r="107" spans="1:23">
      <c r="A107" t="s">
        <v>284</v>
      </c>
      <c r="B107" s="2">
        <v>45700</v>
      </c>
      <c r="C107" t="s">
        <v>34</v>
      </c>
      <c r="D107" t="s">
        <v>159</v>
      </c>
      <c r="E107" t="s">
        <v>26</v>
      </c>
      <c r="F107" t="s">
        <v>171</v>
      </c>
      <c r="G107" t="s">
        <v>175</v>
      </c>
      <c r="H107" t="s">
        <v>27</v>
      </c>
      <c r="I107" t="s">
        <v>162</v>
      </c>
      <c r="J107">
        <v>12</v>
      </c>
      <c r="K107" s="3">
        <v>19950</v>
      </c>
      <c r="L107" s="3">
        <v>239400</v>
      </c>
      <c r="M107" s="3">
        <v>151200</v>
      </c>
      <c r="N107" s="3">
        <v>88200</v>
      </c>
      <c r="O107" s="4">
        <v>0.368421052631579</v>
      </c>
      <c r="P107" t="s">
        <v>101</v>
      </c>
      <c r="Q107" t="s">
        <v>153</v>
      </c>
      <c r="R107" s="3">
        <v>229600</v>
      </c>
      <c r="S107" s="4">
        <v>1.04268292682927</v>
      </c>
      <c r="T107" s="4">
        <v>0.152625131944006</v>
      </c>
      <c r="U107" t="s">
        <v>211</v>
      </c>
      <c r="V107" s="4">
        <v>0</v>
      </c>
      <c r="W107">
        <v>3.4</v>
      </c>
    </row>
    <row r="108" spans="1:23">
      <c r="A108" t="s">
        <v>285</v>
      </c>
      <c r="B108" s="2">
        <v>45843</v>
      </c>
      <c r="C108" t="s">
        <v>39</v>
      </c>
      <c r="D108" t="s">
        <v>69</v>
      </c>
      <c r="E108" t="s">
        <v>24</v>
      </c>
      <c r="F108" t="s">
        <v>179</v>
      </c>
      <c r="G108" t="s">
        <v>180</v>
      </c>
      <c r="H108" t="s">
        <v>27</v>
      </c>
      <c r="I108" t="s">
        <v>162</v>
      </c>
      <c r="J108">
        <v>5</v>
      </c>
      <c r="K108" s="3">
        <v>19240</v>
      </c>
      <c r="L108" s="3">
        <v>96200</v>
      </c>
      <c r="M108" s="3">
        <v>63000</v>
      </c>
      <c r="N108" s="3">
        <v>33200</v>
      </c>
      <c r="O108" s="4">
        <v>0.345114345114345</v>
      </c>
      <c r="P108" t="s">
        <v>165</v>
      </c>
      <c r="Q108" t="s">
        <v>104</v>
      </c>
      <c r="R108" s="3">
        <v>104100</v>
      </c>
      <c r="S108" s="4">
        <v>0.924111431316042</v>
      </c>
      <c r="T108" s="4">
        <v>0.168309970121972</v>
      </c>
      <c r="U108" t="s">
        <v>116</v>
      </c>
      <c r="V108" s="4">
        <v>0</v>
      </c>
      <c r="W108">
        <v>3.9</v>
      </c>
    </row>
    <row r="109" spans="1:23">
      <c r="A109" t="s">
        <v>286</v>
      </c>
      <c r="B109" s="2">
        <v>45840</v>
      </c>
      <c r="C109" t="s">
        <v>39</v>
      </c>
      <c r="D109" t="s">
        <v>69</v>
      </c>
      <c r="E109" t="s">
        <v>29</v>
      </c>
      <c r="F109" t="s">
        <v>183</v>
      </c>
      <c r="G109" t="s">
        <v>76</v>
      </c>
      <c r="H109" t="s">
        <v>30</v>
      </c>
      <c r="I109" t="s">
        <v>169</v>
      </c>
      <c r="J109">
        <v>4</v>
      </c>
      <c r="K109" s="3">
        <v>3570</v>
      </c>
      <c r="L109" s="3">
        <v>14280</v>
      </c>
      <c r="M109" s="3">
        <v>7040</v>
      </c>
      <c r="N109" s="3">
        <v>7240</v>
      </c>
      <c r="O109" s="4">
        <v>0.507002801120448</v>
      </c>
      <c r="P109" t="s">
        <v>165</v>
      </c>
      <c r="Q109" t="s">
        <v>104</v>
      </c>
      <c r="R109" s="3">
        <v>16100</v>
      </c>
      <c r="S109" s="4">
        <v>0.88695652173913</v>
      </c>
      <c r="T109" s="4">
        <v>-0.0265693799126061</v>
      </c>
      <c r="U109" t="s">
        <v>116</v>
      </c>
      <c r="V109" s="4">
        <v>0.08</v>
      </c>
      <c r="W109">
        <v>4.4</v>
      </c>
    </row>
    <row r="110" spans="1:23">
      <c r="A110" t="s">
        <v>287</v>
      </c>
      <c r="B110" s="2">
        <v>45928</v>
      </c>
      <c r="C110" t="s">
        <v>41</v>
      </c>
      <c r="D110" t="s">
        <v>69</v>
      </c>
      <c r="E110" t="s">
        <v>28</v>
      </c>
      <c r="F110" t="s">
        <v>155</v>
      </c>
      <c r="G110" t="s">
        <v>156</v>
      </c>
      <c r="H110" t="s">
        <v>4</v>
      </c>
      <c r="I110" t="s">
        <v>184</v>
      </c>
      <c r="J110">
        <v>10</v>
      </c>
      <c r="K110" s="3">
        <v>13380</v>
      </c>
      <c r="L110" s="3">
        <v>133800</v>
      </c>
      <c r="M110" s="3">
        <v>82500</v>
      </c>
      <c r="N110" s="3">
        <v>51300</v>
      </c>
      <c r="O110" s="4">
        <v>0.383408071748879</v>
      </c>
      <c r="P110" t="s">
        <v>165</v>
      </c>
      <c r="Q110" t="s">
        <v>104</v>
      </c>
      <c r="R110" s="3">
        <v>131700</v>
      </c>
      <c r="S110" s="4">
        <v>1.01594533029613</v>
      </c>
      <c r="T110" s="4">
        <v>-0.0199669588977706</v>
      </c>
      <c r="U110" t="s">
        <v>116</v>
      </c>
      <c r="V110" s="4">
        <v>0.03</v>
      </c>
      <c r="W110">
        <v>4.3</v>
      </c>
    </row>
    <row r="111" spans="1:23">
      <c r="A111" t="s">
        <v>288</v>
      </c>
      <c r="B111" s="2">
        <v>45804</v>
      </c>
      <c r="C111" t="s">
        <v>37</v>
      </c>
      <c r="D111" t="s">
        <v>150</v>
      </c>
      <c r="E111" t="s">
        <v>24</v>
      </c>
      <c r="F111" t="s">
        <v>196</v>
      </c>
      <c r="G111" t="s">
        <v>180</v>
      </c>
      <c r="H111" t="s">
        <v>25</v>
      </c>
      <c r="I111" t="s">
        <v>152</v>
      </c>
      <c r="J111">
        <v>13</v>
      </c>
      <c r="K111" s="3">
        <v>24570</v>
      </c>
      <c r="L111" s="3">
        <v>319410</v>
      </c>
      <c r="M111" s="3">
        <v>239200</v>
      </c>
      <c r="N111" s="3">
        <v>80210</v>
      </c>
      <c r="O111" s="4">
        <v>0.251119251119251</v>
      </c>
      <c r="P111" t="s">
        <v>101</v>
      </c>
      <c r="Q111" t="s">
        <v>153</v>
      </c>
      <c r="R111" s="3">
        <v>325200</v>
      </c>
      <c r="S111" s="4">
        <v>0.98219557195572</v>
      </c>
      <c r="T111" s="4">
        <v>0.0193491632990088</v>
      </c>
      <c r="U111" t="s">
        <v>116</v>
      </c>
      <c r="V111" s="4">
        <v>0.08</v>
      </c>
      <c r="W111">
        <v>4.4</v>
      </c>
    </row>
    <row r="112" spans="1:23">
      <c r="A112" t="s">
        <v>289</v>
      </c>
      <c r="B112" s="2">
        <v>45864</v>
      </c>
      <c r="C112" t="s">
        <v>39</v>
      </c>
      <c r="D112" t="s">
        <v>69</v>
      </c>
      <c r="E112" t="s">
        <v>26</v>
      </c>
      <c r="F112" t="s">
        <v>146</v>
      </c>
      <c r="G112" t="s">
        <v>147</v>
      </c>
      <c r="H112" t="s">
        <v>30</v>
      </c>
      <c r="I112" t="s">
        <v>216</v>
      </c>
      <c r="J112">
        <v>12</v>
      </c>
      <c r="K112" s="3">
        <v>5280</v>
      </c>
      <c r="L112" s="3">
        <v>63360</v>
      </c>
      <c r="M112" s="3">
        <v>35040</v>
      </c>
      <c r="N112" s="3">
        <v>28320</v>
      </c>
      <c r="O112" s="4">
        <v>0.446969696969697</v>
      </c>
      <c r="P112" t="s">
        <v>165</v>
      </c>
      <c r="Q112" t="s">
        <v>104</v>
      </c>
      <c r="R112" s="3">
        <v>62700</v>
      </c>
      <c r="S112" s="4">
        <v>1.01052631578947</v>
      </c>
      <c r="T112" s="4">
        <v>-0.00225947498275969</v>
      </c>
      <c r="U112" t="s">
        <v>116</v>
      </c>
      <c r="V112" s="4">
        <v>0.08</v>
      </c>
      <c r="W112">
        <v>4.6</v>
      </c>
    </row>
    <row r="113" spans="1:23">
      <c r="A113" t="s">
        <v>290</v>
      </c>
      <c r="B113" s="2">
        <v>45781</v>
      </c>
      <c r="C113" t="s">
        <v>37</v>
      </c>
      <c r="D113" t="s">
        <v>150</v>
      </c>
      <c r="E113" t="s">
        <v>26</v>
      </c>
      <c r="F113" t="s">
        <v>171</v>
      </c>
      <c r="G113" t="s">
        <v>175</v>
      </c>
      <c r="H113" t="s">
        <v>27</v>
      </c>
      <c r="I113" t="s">
        <v>162</v>
      </c>
      <c r="J113">
        <v>16</v>
      </c>
      <c r="K113" s="3">
        <v>19200</v>
      </c>
      <c r="L113" s="3">
        <v>307200</v>
      </c>
      <c r="M113" s="3">
        <v>201600</v>
      </c>
      <c r="N113" s="3">
        <v>105600</v>
      </c>
      <c r="O113" s="4">
        <v>0.34375</v>
      </c>
      <c r="P113" t="s">
        <v>165</v>
      </c>
      <c r="Q113" t="s">
        <v>104</v>
      </c>
      <c r="R113" s="3">
        <v>293600</v>
      </c>
      <c r="S113" s="4">
        <v>1.04632152588556</v>
      </c>
      <c r="T113" s="4">
        <v>0.180995119063739</v>
      </c>
      <c r="U113" t="s">
        <v>116</v>
      </c>
      <c r="V113" s="4">
        <v>0</v>
      </c>
      <c r="W113">
        <v>4.2</v>
      </c>
    </row>
    <row r="114" spans="1:23">
      <c r="A114" t="s">
        <v>291</v>
      </c>
      <c r="B114" s="2">
        <v>45772</v>
      </c>
      <c r="C114" t="s">
        <v>36</v>
      </c>
      <c r="D114" t="s">
        <v>150</v>
      </c>
      <c r="E114" t="s">
        <v>28</v>
      </c>
      <c r="F114" t="s">
        <v>155</v>
      </c>
      <c r="G114" t="s">
        <v>168</v>
      </c>
      <c r="H114" t="s">
        <v>27</v>
      </c>
      <c r="I114" t="s">
        <v>148</v>
      </c>
      <c r="J114">
        <v>1</v>
      </c>
      <c r="K114" s="3">
        <v>21180</v>
      </c>
      <c r="L114" s="3">
        <v>21180</v>
      </c>
      <c r="M114" s="3">
        <v>13900</v>
      </c>
      <c r="N114" s="3">
        <v>7280</v>
      </c>
      <c r="O114" s="4">
        <v>0.343720491029273</v>
      </c>
      <c r="P114" t="s">
        <v>101</v>
      </c>
      <c r="Q114" t="s">
        <v>153</v>
      </c>
      <c r="R114" s="3">
        <v>22700</v>
      </c>
      <c r="S114" s="4">
        <v>0.933039647577092</v>
      </c>
      <c r="T114" s="4">
        <v>0.120616973639882</v>
      </c>
      <c r="U114" t="s">
        <v>116</v>
      </c>
      <c r="V114" s="4">
        <v>0</v>
      </c>
      <c r="W114">
        <v>4.8</v>
      </c>
    </row>
    <row r="115" spans="1:23">
      <c r="A115" t="s">
        <v>292</v>
      </c>
      <c r="B115" s="2">
        <v>45679</v>
      </c>
      <c r="C115" t="s">
        <v>33</v>
      </c>
      <c r="D115" t="s">
        <v>159</v>
      </c>
      <c r="E115" t="s">
        <v>28</v>
      </c>
      <c r="F115" t="s">
        <v>177</v>
      </c>
      <c r="G115" t="s">
        <v>156</v>
      </c>
      <c r="H115" t="s">
        <v>25</v>
      </c>
      <c r="I115" t="s">
        <v>152</v>
      </c>
      <c r="J115">
        <v>10</v>
      </c>
      <c r="K115" s="3">
        <v>25820</v>
      </c>
      <c r="L115" s="3">
        <v>258200</v>
      </c>
      <c r="M115" s="3">
        <v>184000</v>
      </c>
      <c r="N115" s="3">
        <v>74200</v>
      </c>
      <c r="O115" s="4">
        <v>0.287374128582494</v>
      </c>
      <c r="P115" t="s">
        <v>165</v>
      </c>
      <c r="Q115" t="s">
        <v>153</v>
      </c>
      <c r="R115" s="3">
        <v>268500</v>
      </c>
      <c r="S115" s="4">
        <v>0.961638733705773</v>
      </c>
      <c r="T115" s="4">
        <v>0.197047373113178</v>
      </c>
      <c r="U115" t="s">
        <v>116</v>
      </c>
      <c r="V115" s="4">
        <v>0</v>
      </c>
      <c r="W115">
        <v>4</v>
      </c>
    </row>
    <row r="116" spans="1:23">
      <c r="A116" t="s">
        <v>293</v>
      </c>
      <c r="B116" s="2">
        <v>45720</v>
      </c>
      <c r="C116" t="s">
        <v>35</v>
      </c>
      <c r="D116" t="s">
        <v>159</v>
      </c>
      <c r="E116" t="s">
        <v>28</v>
      </c>
      <c r="F116" t="s">
        <v>155</v>
      </c>
      <c r="G116" t="s">
        <v>168</v>
      </c>
      <c r="H116" t="s">
        <v>4</v>
      </c>
      <c r="I116" t="s">
        <v>189</v>
      </c>
      <c r="J116">
        <v>9</v>
      </c>
      <c r="K116" s="3">
        <v>15240</v>
      </c>
      <c r="L116" s="3">
        <v>137160</v>
      </c>
      <c r="M116" s="3">
        <v>93600</v>
      </c>
      <c r="N116" s="3">
        <v>43560</v>
      </c>
      <c r="O116" s="4">
        <v>0.31758530183727</v>
      </c>
      <c r="P116" t="s">
        <v>101</v>
      </c>
      <c r="Q116" t="s">
        <v>153</v>
      </c>
      <c r="R116" s="3">
        <v>153800</v>
      </c>
      <c r="S116" s="4">
        <v>0.891807542262679</v>
      </c>
      <c r="T116" s="4">
        <v>0.0951572090459029</v>
      </c>
      <c r="U116" t="s">
        <v>193</v>
      </c>
      <c r="V116" s="4">
        <v>0.08</v>
      </c>
      <c r="W116">
        <v>4</v>
      </c>
    </row>
    <row r="117" spans="1:23">
      <c r="A117" t="s">
        <v>294</v>
      </c>
      <c r="B117" s="2">
        <v>45823</v>
      </c>
      <c r="C117" t="s">
        <v>38</v>
      </c>
      <c r="D117" t="s">
        <v>150</v>
      </c>
      <c r="E117" t="s">
        <v>24</v>
      </c>
      <c r="F117" t="s">
        <v>160</v>
      </c>
      <c r="G117" t="s">
        <v>161</v>
      </c>
      <c r="H117" t="s">
        <v>25</v>
      </c>
      <c r="I117" t="s">
        <v>207</v>
      </c>
      <c r="J117">
        <v>15</v>
      </c>
      <c r="K117" s="3">
        <v>72160</v>
      </c>
      <c r="L117" s="3">
        <v>1082400</v>
      </c>
      <c r="M117" s="3">
        <v>787500</v>
      </c>
      <c r="N117" s="3">
        <v>294900</v>
      </c>
      <c r="O117" s="4">
        <v>0.272450110864745</v>
      </c>
      <c r="P117" t="s">
        <v>101</v>
      </c>
      <c r="Q117" t="s">
        <v>153</v>
      </c>
      <c r="R117" s="3">
        <v>1168100</v>
      </c>
      <c r="S117" s="4">
        <v>0.926632993750535</v>
      </c>
      <c r="T117" s="4">
        <v>0.0955802042033398</v>
      </c>
      <c r="U117" t="s">
        <v>116</v>
      </c>
      <c r="V117" s="4">
        <v>0</v>
      </c>
      <c r="W117">
        <v>4.2</v>
      </c>
    </row>
    <row r="118" spans="1:23">
      <c r="A118" t="s">
        <v>295</v>
      </c>
      <c r="B118" s="2">
        <v>45733</v>
      </c>
      <c r="C118" t="s">
        <v>35</v>
      </c>
      <c r="D118" t="s">
        <v>159</v>
      </c>
      <c r="E118" t="s">
        <v>28</v>
      </c>
      <c r="F118" t="s">
        <v>177</v>
      </c>
      <c r="G118" t="s">
        <v>168</v>
      </c>
      <c r="H118" t="s">
        <v>25</v>
      </c>
      <c r="I118" t="s">
        <v>218</v>
      </c>
      <c r="J118">
        <v>9</v>
      </c>
      <c r="K118" s="3">
        <v>30760</v>
      </c>
      <c r="L118" s="3">
        <v>276840</v>
      </c>
      <c r="M118" s="3">
        <v>205200</v>
      </c>
      <c r="N118" s="3">
        <v>71640</v>
      </c>
      <c r="O118" s="4">
        <v>0.258777633289987</v>
      </c>
      <c r="P118" t="s">
        <v>101</v>
      </c>
      <c r="Q118" t="s">
        <v>104</v>
      </c>
      <c r="R118" s="3">
        <v>301700</v>
      </c>
      <c r="S118" s="4">
        <v>0.91760026516407</v>
      </c>
      <c r="T118" s="4">
        <v>-0.0739474417255367</v>
      </c>
      <c r="U118" t="s">
        <v>116</v>
      </c>
      <c r="V118" s="4">
        <v>0.05</v>
      </c>
      <c r="W118">
        <v>4</v>
      </c>
    </row>
    <row r="119" spans="1:23">
      <c r="A119" t="s">
        <v>296</v>
      </c>
      <c r="B119" s="2">
        <v>45976</v>
      </c>
      <c r="C119" t="s">
        <v>43</v>
      </c>
      <c r="D119" t="s">
        <v>145</v>
      </c>
      <c r="E119" t="s">
        <v>29</v>
      </c>
      <c r="F119" t="s">
        <v>73</v>
      </c>
      <c r="G119" t="s">
        <v>76</v>
      </c>
      <c r="H119" t="s">
        <v>25</v>
      </c>
      <c r="I119" t="s">
        <v>152</v>
      </c>
      <c r="J119">
        <v>14</v>
      </c>
      <c r="K119" s="3">
        <v>26760</v>
      </c>
      <c r="L119" s="3">
        <v>374640</v>
      </c>
      <c r="M119" s="3">
        <v>257600</v>
      </c>
      <c r="N119" s="3">
        <v>117040</v>
      </c>
      <c r="O119" s="4">
        <v>0.312406576980568</v>
      </c>
      <c r="P119" t="s">
        <v>101</v>
      </c>
      <c r="Q119" t="s">
        <v>153</v>
      </c>
      <c r="R119" s="3">
        <v>354800</v>
      </c>
      <c r="S119" s="4">
        <v>1.05591882750846</v>
      </c>
      <c r="T119" s="4">
        <v>0.0166091062980319</v>
      </c>
      <c r="U119" t="s">
        <v>211</v>
      </c>
      <c r="V119" s="4">
        <v>0</v>
      </c>
      <c r="W119">
        <v>4</v>
      </c>
    </row>
    <row r="120" spans="1:23">
      <c r="A120" t="s">
        <v>297</v>
      </c>
      <c r="B120" s="2">
        <v>45681</v>
      </c>
      <c r="C120" t="s">
        <v>33</v>
      </c>
      <c r="D120" t="s">
        <v>159</v>
      </c>
      <c r="E120" t="s">
        <v>24</v>
      </c>
      <c r="F120" t="s">
        <v>160</v>
      </c>
      <c r="G120" t="s">
        <v>180</v>
      </c>
      <c r="H120" t="s">
        <v>30</v>
      </c>
      <c r="I120" t="s">
        <v>81</v>
      </c>
      <c r="J120">
        <v>1</v>
      </c>
      <c r="K120" s="3">
        <v>1960</v>
      </c>
      <c r="L120" s="3">
        <v>1960</v>
      </c>
      <c r="M120" s="3">
        <v>930</v>
      </c>
      <c r="N120" s="3">
        <v>1030</v>
      </c>
      <c r="O120" s="4">
        <v>0.525510204081633</v>
      </c>
      <c r="P120" t="s">
        <v>165</v>
      </c>
      <c r="Q120" t="s">
        <v>153</v>
      </c>
      <c r="R120" s="3">
        <v>2300</v>
      </c>
      <c r="S120" s="4">
        <v>0.852173913043478</v>
      </c>
      <c r="T120" s="4">
        <v>0.0936013906535688</v>
      </c>
      <c r="U120" t="s">
        <v>116</v>
      </c>
      <c r="V120" s="4">
        <v>0.08</v>
      </c>
      <c r="W120">
        <v>4.5</v>
      </c>
    </row>
    <row r="121" spans="1:23">
      <c r="A121" t="s">
        <v>298</v>
      </c>
      <c r="B121" s="2">
        <v>45807</v>
      </c>
      <c r="C121" t="s">
        <v>37</v>
      </c>
      <c r="D121" t="s">
        <v>150</v>
      </c>
      <c r="E121" t="s">
        <v>24</v>
      </c>
      <c r="F121" t="s">
        <v>196</v>
      </c>
      <c r="G121" t="s">
        <v>161</v>
      </c>
      <c r="H121" t="s">
        <v>25</v>
      </c>
      <c r="I121" t="s">
        <v>207</v>
      </c>
      <c r="J121">
        <v>14</v>
      </c>
      <c r="K121" s="3">
        <v>72030</v>
      </c>
      <c r="L121" s="3">
        <v>1008420</v>
      </c>
      <c r="M121" s="3">
        <v>735000</v>
      </c>
      <c r="N121" s="3">
        <v>273420</v>
      </c>
      <c r="O121" s="4">
        <v>0.271137026239067</v>
      </c>
      <c r="P121" t="s">
        <v>101</v>
      </c>
      <c r="Q121" t="s">
        <v>153</v>
      </c>
      <c r="R121" s="3">
        <v>1139200</v>
      </c>
      <c r="S121" s="4">
        <v>0.885200140449438</v>
      </c>
      <c r="T121" s="4">
        <v>0.161062178457172</v>
      </c>
      <c r="U121" t="s">
        <v>116</v>
      </c>
      <c r="V121" s="4">
        <v>0</v>
      </c>
      <c r="W121">
        <v>5</v>
      </c>
    </row>
    <row r="122" spans="1:23">
      <c r="A122" t="s">
        <v>299</v>
      </c>
      <c r="B122" s="2">
        <v>45833</v>
      </c>
      <c r="C122" t="s">
        <v>38</v>
      </c>
      <c r="D122" t="s">
        <v>150</v>
      </c>
      <c r="E122" t="s">
        <v>24</v>
      </c>
      <c r="F122" t="s">
        <v>196</v>
      </c>
      <c r="G122" t="s">
        <v>180</v>
      </c>
      <c r="H122" t="s">
        <v>30</v>
      </c>
      <c r="I122" t="s">
        <v>169</v>
      </c>
      <c r="J122">
        <v>6</v>
      </c>
      <c r="K122" s="3">
        <v>3650</v>
      </c>
      <c r="L122" s="3">
        <v>21900</v>
      </c>
      <c r="M122" s="3">
        <v>10560</v>
      </c>
      <c r="N122" s="3">
        <v>11340</v>
      </c>
      <c r="O122" s="4">
        <v>0.517808219178082</v>
      </c>
      <c r="P122" t="s">
        <v>101</v>
      </c>
      <c r="Q122" t="s">
        <v>153</v>
      </c>
      <c r="R122" s="3">
        <v>22700</v>
      </c>
      <c r="S122" s="4">
        <v>0.964757709251101</v>
      </c>
      <c r="T122" s="4">
        <v>0.190874403376962</v>
      </c>
      <c r="U122" t="s">
        <v>116</v>
      </c>
      <c r="V122" s="4">
        <v>0.08</v>
      </c>
      <c r="W122">
        <v>4.7</v>
      </c>
    </row>
    <row r="123" spans="1:23">
      <c r="A123" t="s">
        <v>300</v>
      </c>
      <c r="B123" s="2">
        <v>45791</v>
      </c>
      <c r="C123" t="s">
        <v>37</v>
      </c>
      <c r="D123" t="s">
        <v>150</v>
      </c>
      <c r="E123" t="s">
        <v>28</v>
      </c>
      <c r="F123" t="s">
        <v>177</v>
      </c>
      <c r="G123" t="s">
        <v>156</v>
      </c>
      <c r="H123" t="s">
        <v>30</v>
      </c>
      <c r="I123" t="s">
        <v>169</v>
      </c>
      <c r="J123">
        <v>11</v>
      </c>
      <c r="K123" s="3">
        <v>4030</v>
      </c>
      <c r="L123" s="3">
        <v>44330</v>
      </c>
      <c r="M123" s="3">
        <v>19360</v>
      </c>
      <c r="N123" s="3">
        <v>24970</v>
      </c>
      <c r="O123" s="4">
        <v>0.563275434243176</v>
      </c>
      <c r="P123" t="s">
        <v>165</v>
      </c>
      <c r="Q123" t="s">
        <v>104</v>
      </c>
      <c r="R123" s="3">
        <v>48900</v>
      </c>
      <c r="S123" s="4">
        <v>0.906543967280164</v>
      </c>
      <c r="T123" s="4">
        <v>0.0810561957527631</v>
      </c>
      <c r="U123" t="s">
        <v>116</v>
      </c>
      <c r="V123" s="4">
        <v>0</v>
      </c>
      <c r="W123">
        <v>5</v>
      </c>
    </row>
    <row r="124" spans="1:23">
      <c r="A124" t="s">
        <v>301</v>
      </c>
      <c r="B124" s="2">
        <v>45996</v>
      </c>
      <c r="C124" t="s">
        <v>44</v>
      </c>
      <c r="D124" t="s">
        <v>145</v>
      </c>
      <c r="E124" t="s">
        <v>29</v>
      </c>
      <c r="F124" t="s">
        <v>151</v>
      </c>
      <c r="G124" t="s">
        <v>164</v>
      </c>
      <c r="H124" t="s">
        <v>30</v>
      </c>
      <c r="I124" t="s">
        <v>216</v>
      </c>
      <c r="J124">
        <v>10</v>
      </c>
      <c r="K124" s="3">
        <v>5980</v>
      </c>
      <c r="L124" s="3">
        <v>59800</v>
      </c>
      <c r="M124" s="3">
        <v>29200</v>
      </c>
      <c r="N124" s="3">
        <v>30600</v>
      </c>
      <c r="O124" s="4">
        <v>0.511705685618729</v>
      </c>
      <c r="P124" t="s">
        <v>101</v>
      </c>
      <c r="Q124" t="s">
        <v>153</v>
      </c>
      <c r="R124" s="3">
        <v>61200</v>
      </c>
      <c r="S124" s="4">
        <v>0.977124183006536</v>
      </c>
      <c r="T124" s="4">
        <v>-0.0714474833558423</v>
      </c>
      <c r="U124" t="s">
        <v>116</v>
      </c>
      <c r="V124" s="4">
        <v>0</v>
      </c>
      <c r="W124">
        <v>3.8</v>
      </c>
    </row>
    <row r="125" spans="1:23">
      <c r="A125" t="s">
        <v>302</v>
      </c>
      <c r="B125" s="2">
        <v>45988</v>
      </c>
      <c r="C125" t="s">
        <v>43</v>
      </c>
      <c r="D125" t="s">
        <v>145</v>
      </c>
      <c r="E125" t="s">
        <v>26</v>
      </c>
      <c r="F125" t="s">
        <v>174</v>
      </c>
      <c r="G125" t="s">
        <v>147</v>
      </c>
      <c r="H125" t="s">
        <v>4</v>
      </c>
      <c r="I125" t="s">
        <v>172</v>
      </c>
      <c r="J125">
        <v>9</v>
      </c>
      <c r="K125" s="3">
        <v>11360</v>
      </c>
      <c r="L125" s="3">
        <v>102240</v>
      </c>
      <c r="M125" s="3">
        <v>63900</v>
      </c>
      <c r="N125" s="3">
        <v>38340</v>
      </c>
      <c r="O125" s="4">
        <v>0.375</v>
      </c>
      <c r="P125" t="s">
        <v>165</v>
      </c>
      <c r="Q125" t="s">
        <v>104</v>
      </c>
      <c r="R125" s="3">
        <v>94300</v>
      </c>
      <c r="S125" s="4">
        <v>1.08419936373277</v>
      </c>
      <c r="T125" s="4">
        <v>0.191423732004254</v>
      </c>
      <c r="U125" t="s">
        <v>116</v>
      </c>
      <c r="V125" s="4">
        <v>0.05</v>
      </c>
      <c r="W125">
        <v>4.1</v>
      </c>
    </row>
    <row r="126" spans="1:23">
      <c r="A126" t="s">
        <v>303</v>
      </c>
      <c r="B126" s="2">
        <v>46005</v>
      </c>
      <c r="C126" t="s">
        <v>44</v>
      </c>
      <c r="D126" t="s">
        <v>145</v>
      </c>
      <c r="E126" t="s">
        <v>29</v>
      </c>
      <c r="F126" t="s">
        <v>183</v>
      </c>
      <c r="G126" t="s">
        <v>164</v>
      </c>
      <c r="H126" t="s">
        <v>4</v>
      </c>
      <c r="I126" t="s">
        <v>189</v>
      </c>
      <c r="J126">
        <v>7</v>
      </c>
      <c r="K126" s="3">
        <v>15370</v>
      </c>
      <c r="L126" s="3">
        <v>107590</v>
      </c>
      <c r="M126" s="3">
        <v>72800</v>
      </c>
      <c r="N126" s="3">
        <v>34790</v>
      </c>
      <c r="O126" s="4">
        <v>0.323357189329863</v>
      </c>
      <c r="P126" t="s">
        <v>101</v>
      </c>
      <c r="Q126" t="s">
        <v>104</v>
      </c>
      <c r="R126" s="3">
        <v>104300</v>
      </c>
      <c r="S126" s="4">
        <v>1.03154362416107</v>
      </c>
      <c r="T126" s="4">
        <v>0.133748241780128</v>
      </c>
      <c r="U126" t="s">
        <v>116</v>
      </c>
      <c r="V126" s="4">
        <v>0.08</v>
      </c>
      <c r="W126">
        <v>3.9</v>
      </c>
    </row>
    <row r="127" spans="1:23">
      <c r="A127" t="s">
        <v>304</v>
      </c>
      <c r="B127" s="2">
        <v>45950</v>
      </c>
      <c r="C127" t="s">
        <v>42</v>
      </c>
      <c r="D127" t="s">
        <v>145</v>
      </c>
      <c r="E127" t="s">
        <v>28</v>
      </c>
      <c r="F127" t="s">
        <v>167</v>
      </c>
      <c r="G127" t="s">
        <v>156</v>
      </c>
      <c r="H127" t="s">
        <v>27</v>
      </c>
      <c r="I127" t="s">
        <v>157</v>
      </c>
      <c r="J127">
        <v>16</v>
      </c>
      <c r="K127" s="3">
        <v>11890</v>
      </c>
      <c r="L127" s="3">
        <v>190240</v>
      </c>
      <c r="M127" s="3">
        <v>121600</v>
      </c>
      <c r="N127" s="3">
        <v>68640</v>
      </c>
      <c r="O127" s="4">
        <v>0.36080740117746</v>
      </c>
      <c r="P127" t="s">
        <v>165</v>
      </c>
      <c r="Q127" t="s">
        <v>104</v>
      </c>
      <c r="R127" s="3">
        <v>194700</v>
      </c>
      <c r="S127" s="4">
        <v>0.977092963533642</v>
      </c>
      <c r="T127" s="4">
        <v>0.0631886116195681</v>
      </c>
      <c r="U127" t="s">
        <v>116</v>
      </c>
      <c r="V127" s="4">
        <v>0.08</v>
      </c>
      <c r="W127">
        <v>3.4</v>
      </c>
    </row>
    <row r="128" spans="1:23">
      <c r="A128" t="s">
        <v>305</v>
      </c>
      <c r="B128" s="2">
        <v>45949</v>
      </c>
      <c r="C128" t="s">
        <v>42</v>
      </c>
      <c r="D128" t="s">
        <v>145</v>
      </c>
      <c r="E128" t="s">
        <v>24</v>
      </c>
      <c r="F128" t="s">
        <v>179</v>
      </c>
      <c r="G128" t="s">
        <v>180</v>
      </c>
      <c r="H128" t="s">
        <v>25</v>
      </c>
      <c r="I128" t="s">
        <v>218</v>
      </c>
      <c r="J128">
        <v>7</v>
      </c>
      <c r="K128" s="3">
        <v>32340</v>
      </c>
      <c r="L128" s="3">
        <v>226380</v>
      </c>
      <c r="M128" s="3">
        <v>159600</v>
      </c>
      <c r="N128" s="3">
        <v>66780</v>
      </c>
      <c r="O128" s="4">
        <v>0.294990723562152</v>
      </c>
      <c r="P128" t="s">
        <v>101</v>
      </c>
      <c r="Q128" t="s">
        <v>104</v>
      </c>
      <c r="R128" s="3">
        <v>248400</v>
      </c>
      <c r="S128" s="4">
        <v>0.911352657004831</v>
      </c>
      <c r="T128" s="4">
        <v>0.060816131565261</v>
      </c>
      <c r="U128" t="s">
        <v>116</v>
      </c>
      <c r="V128" s="4">
        <v>0.03</v>
      </c>
      <c r="W128">
        <v>4.6</v>
      </c>
    </row>
    <row r="129" spans="1:23">
      <c r="A129" t="s">
        <v>306</v>
      </c>
      <c r="B129" s="2">
        <v>45953</v>
      </c>
      <c r="C129" t="s">
        <v>42</v>
      </c>
      <c r="D129" t="s">
        <v>145</v>
      </c>
      <c r="E129" t="s">
        <v>24</v>
      </c>
      <c r="F129" t="s">
        <v>179</v>
      </c>
      <c r="G129" t="s">
        <v>180</v>
      </c>
      <c r="H129" t="s">
        <v>25</v>
      </c>
      <c r="I129" t="s">
        <v>207</v>
      </c>
      <c r="J129">
        <v>10</v>
      </c>
      <c r="K129" s="3">
        <v>69000</v>
      </c>
      <c r="L129" s="3">
        <v>690000</v>
      </c>
      <c r="M129" s="3">
        <v>525000</v>
      </c>
      <c r="N129" s="3">
        <v>165000</v>
      </c>
      <c r="O129" s="4">
        <v>0.239130434782609</v>
      </c>
      <c r="P129" t="s">
        <v>101</v>
      </c>
      <c r="Q129" t="s">
        <v>153</v>
      </c>
      <c r="R129" s="3">
        <v>736600</v>
      </c>
      <c r="S129" s="4">
        <v>0.936736356231333</v>
      </c>
      <c r="T129" s="4">
        <v>-0.0221259004132797</v>
      </c>
      <c r="U129" t="s">
        <v>116</v>
      </c>
      <c r="V129" s="4">
        <v>0.05</v>
      </c>
      <c r="W129">
        <v>3.4</v>
      </c>
    </row>
    <row r="130" spans="1:23">
      <c r="A130" t="s">
        <v>307</v>
      </c>
      <c r="B130" s="2">
        <v>46015</v>
      </c>
      <c r="C130" t="s">
        <v>44</v>
      </c>
      <c r="D130" t="s">
        <v>145</v>
      </c>
      <c r="E130" t="s">
        <v>24</v>
      </c>
      <c r="F130" t="s">
        <v>179</v>
      </c>
      <c r="G130" t="s">
        <v>180</v>
      </c>
      <c r="H130" t="s">
        <v>4</v>
      </c>
      <c r="I130" t="s">
        <v>184</v>
      </c>
      <c r="J130">
        <v>15</v>
      </c>
      <c r="K130" s="3">
        <v>13030</v>
      </c>
      <c r="L130" s="3">
        <v>195450</v>
      </c>
      <c r="M130" s="3">
        <v>123750</v>
      </c>
      <c r="N130" s="3">
        <v>71700</v>
      </c>
      <c r="O130" s="4">
        <v>0.366845740598619</v>
      </c>
      <c r="P130" t="s">
        <v>165</v>
      </c>
      <c r="Q130" t="s">
        <v>153</v>
      </c>
      <c r="R130" s="3">
        <v>187900</v>
      </c>
      <c r="S130" s="4">
        <v>1.0401809473124</v>
      </c>
      <c r="T130" s="4">
        <v>0.171750209084064</v>
      </c>
      <c r="U130" t="s">
        <v>116</v>
      </c>
      <c r="V130" s="4">
        <v>0.08</v>
      </c>
      <c r="W130">
        <v>4.8</v>
      </c>
    </row>
    <row r="131" spans="1:23">
      <c r="A131" t="s">
        <v>308</v>
      </c>
      <c r="B131" s="2">
        <v>45755</v>
      </c>
      <c r="C131" t="s">
        <v>36</v>
      </c>
      <c r="D131" t="s">
        <v>150</v>
      </c>
      <c r="E131" t="s">
        <v>28</v>
      </c>
      <c r="F131" t="s">
        <v>167</v>
      </c>
      <c r="G131" t="s">
        <v>156</v>
      </c>
      <c r="H131" t="s">
        <v>27</v>
      </c>
      <c r="I131" t="s">
        <v>148</v>
      </c>
      <c r="J131">
        <v>16</v>
      </c>
      <c r="K131" s="3">
        <v>20860</v>
      </c>
      <c r="L131" s="3">
        <v>333760</v>
      </c>
      <c r="M131" s="3">
        <v>222400</v>
      </c>
      <c r="N131" s="3">
        <v>111360</v>
      </c>
      <c r="O131" s="4">
        <v>0.333652924256951</v>
      </c>
      <c r="P131" t="s">
        <v>165</v>
      </c>
      <c r="Q131" t="s">
        <v>104</v>
      </c>
      <c r="R131" s="3">
        <v>325300</v>
      </c>
      <c r="S131" s="4">
        <v>1.02600676298801</v>
      </c>
      <c r="T131" s="4">
        <v>-4.44254047673037e-5</v>
      </c>
      <c r="U131" t="s">
        <v>116</v>
      </c>
      <c r="V131" s="4">
        <v>0</v>
      </c>
      <c r="W131">
        <v>4.1</v>
      </c>
    </row>
    <row r="132" spans="1:23">
      <c r="A132" t="s">
        <v>309</v>
      </c>
      <c r="B132" s="2">
        <v>45959</v>
      </c>
      <c r="C132" t="s">
        <v>42</v>
      </c>
      <c r="D132" t="s">
        <v>145</v>
      </c>
      <c r="E132" t="s">
        <v>29</v>
      </c>
      <c r="F132" t="s">
        <v>73</v>
      </c>
      <c r="G132" t="s">
        <v>76</v>
      </c>
      <c r="H132" t="s">
        <v>25</v>
      </c>
      <c r="I132" t="s">
        <v>218</v>
      </c>
      <c r="J132">
        <v>4</v>
      </c>
      <c r="K132" s="3">
        <v>29710</v>
      </c>
      <c r="L132" s="3">
        <v>118840</v>
      </c>
      <c r="M132" s="3">
        <v>91200</v>
      </c>
      <c r="N132" s="3">
        <v>27640</v>
      </c>
      <c r="O132" s="4">
        <v>0.232581622349377</v>
      </c>
      <c r="P132" t="s">
        <v>101</v>
      </c>
      <c r="Q132" t="s">
        <v>104</v>
      </c>
      <c r="R132" s="3">
        <v>132700</v>
      </c>
      <c r="S132" s="4">
        <v>0.895553880934439</v>
      </c>
      <c r="T132" s="4">
        <v>0.18607420329071</v>
      </c>
      <c r="U132" t="s">
        <v>116</v>
      </c>
      <c r="V132" s="4">
        <v>0.08</v>
      </c>
      <c r="W132">
        <v>3.8</v>
      </c>
    </row>
    <row r="133" spans="1:23">
      <c r="A133" t="s">
        <v>310</v>
      </c>
      <c r="B133" s="2">
        <v>45717</v>
      </c>
      <c r="C133" t="s">
        <v>35</v>
      </c>
      <c r="D133" t="s">
        <v>159</v>
      </c>
      <c r="E133" t="s">
        <v>26</v>
      </c>
      <c r="F133" t="s">
        <v>171</v>
      </c>
      <c r="G133" t="s">
        <v>147</v>
      </c>
      <c r="H133" t="s">
        <v>27</v>
      </c>
      <c r="I133" t="s">
        <v>148</v>
      </c>
      <c r="J133">
        <v>12</v>
      </c>
      <c r="K133" s="3">
        <v>22040</v>
      </c>
      <c r="L133" s="3">
        <v>264480</v>
      </c>
      <c r="M133" s="3">
        <v>166800</v>
      </c>
      <c r="N133" s="3">
        <v>97680</v>
      </c>
      <c r="O133" s="4">
        <v>0.369328493647913</v>
      </c>
      <c r="P133" t="s">
        <v>101</v>
      </c>
      <c r="Q133" t="s">
        <v>104</v>
      </c>
      <c r="R133" s="3">
        <v>272100</v>
      </c>
      <c r="S133" s="4">
        <v>0.97199558985667</v>
      </c>
      <c r="T133" s="4">
        <v>0.0673799974529301</v>
      </c>
      <c r="U133" t="s">
        <v>116</v>
      </c>
      <c r="V133" s="4">
        <v>0</v>
      </c>
      <c r="W133">
        <v>3.9</v>
      </c>
    </row>
    <row r="134" spans="1:23">
      <c r="A134" t="s">
        <v>311</v>
      </c>
      <c r="B134" s="2">
        <v>45917</v>
      </c>
      <c r="C134" t="s">
        <v>41</v>
      </c>
      <c r="D134" t="s">
        <v>69</v>
      </c>
      <c r="E134" t="s">
        <v>26</v>
      </c>
      <c r="F134" t="s">
        <v>174</v>
      </c>
      <c r="G134" t="s">
        <v>147</v>
      </c>
      <c r="H134" t="s">
        <v>27</v>
      </c>
      <c r="I134" t="s">
        <v>162</v>
      </c>
      <c r="J134">
        <v>1</v>
      </c>
      <c r="K134" s="3">
        <v>19260</v>
      </c>
      <c r="L134" s="3">
        <v>19260</v>
      </c>
      <c r="M134" s="3">
        <v>12600</v>
      </c>
      <c r="N134" s="3">
        <v>6660</v>
      </c>
      <c r="O134" s="4">
        <v>0.345794392523364</v>
      </c>
      <c r="P134" t="s">
        <v>165</v>
      </c>
      <c r="Q134" t="s">
        <v>104</v>
      </c>
      <c r="R134" s="3">
        <v>17900</v>
      </c>
      <c r="S134" s="4">
        <v>1.07597765363128</v>
      </c>
      <c r="T134" s="4">
        <v>0.180660588805224</v>
      </c>
      <c r="U134" t="s">
        <v>116</v>
      </c>
      <c r="V134" s="4">
        <v>0.03</v>
      </c>
      <c r="W134">
        <v>3.6</v>
      </c>
    </row>
    <row r="135" spans="1:23">
      <c r="A135" t="s">
        <v>312</v>
      </c>
      <c r="B135" s="2">
        <v>45754</v>
      </c>
      <c r="C135" t="s">
        <v>36</v>
      </c>
      <c r="D135" t="s">
        <v>150</v>
      </c>
      <c r="E135" t="s">
        <v>28</v>
      </c>
      <c r="F135" t="s">
        <v>167</v>
      </c>
      <c r="G135" t="s">
        <v>156</v>
      </c>
      <c r="H135" t="s">
        <v>30</v>
      </c>
      <c r="I135" t="s">
        <v>81</v>
      </c>
      <c r="J135">
        <v>1</v>
      </c>
      <c r="K135" s="3">
        <v>2010</v>
      </c>
      <c r="L135" s="3">
        <v>2010</v>
      </c>
      <c r="M135" s="3">
        <v>930</v>
      </c>
      <c r="N135" s="3">
        <v>1080</v>
      </c>
      <c r="O135" s="4">
        <v>0.537313432835821</v>
      </c>
      <c r="P135" t="s">
        <v>165</v>
      </c>
      <c r="Q135" t="s">
        <v>153</v>
      </c>
      <c r="R135" s="3">
        <v>2300</v>
      </c>
      <c r="S135" s="4">
        <v>0.873913043478261</v>
      </c>
      <c r="T135" s="4">
        <v>0.154244171740511</v>
      </c>
      <c r="U135" t="s">
        <v>116</v>
      </c>
      <c r="V135" s="4">
        <v>0.08</v>
      </c>
      <c r="W135">
        <v>3.7</v>
      </c>
    </row>
    <row r="136" spans="1:23">
      <c r="A136" t="s">
        <v>313</v>
      </c>
      <c r="B136" s="2">
        <v>45826</v>
      </c>
      <c r="C136" t="s">
        <v>38</v>
      </c>
      <c r="D136" t="s">
        <v>150</v>
      </c>
      <c r="E136" t="s">
        <v>26</v>
      </c>
      <c r="F136" t="s">
        <v>146</v>
      </c>
      <c r="G136" t="s">
        <v>147</v>
      </c>
      <c r="H136" t="s">
        <v>30</v>
      </c>
      <c r="I136" t="s">
        <v>216</v>
      </c>
      <c r="J136">
        <v>5</v>
      </c>
      <c r="K136" s="3">
        <v>5710</v>
      </c>
      <c r="L136" s="3">
        <v>28550</v>
      </c>
      <c r="M136" s="3">
        <v>14600</v>
      </c>
      <c r="N136" s="3">
        <v>13950</v>
      </c>
      <c r="O136" s="4">
        <v>0.48861646234676</v>
      </c>
      <c r="P136" t="s">
        <v>165</v>
      </c>
      <c r="Q136" t="s">
        <v>153</v>
      </c>
      <c r="R136" s="3">
        <v>33100</v>
      </c>
      <c r="S136" s="4">
        <v>0.862537764350453</v>
      </c>
      <c r="T136" s="4">
        <v>-0.0727802268420525</v>
      </c>
      <c r="U136" t="s">
        <v>116</v>
      </c>
      <c r="V136" s="4">
        <v>0.03</v>
      </c>
      <c r="W136">
        <v>3.7</v>
      </c>
    </row>
    <row r="137" spans="1:23">
      <c r="A137" t="s">
        <v>314</v>
      </c>
      <c r="B137" s="2">
        <v>45756</v>
      </c>
      <c r="C137" t="s">
        <v>36</v>
      </c>
      <c r="D137" t="s">
        <v>150</v>
      </c>
      <c r="E137" t="s">
        <v>26</v>
      </c>
      <c r="F137" t="s">
        <v>146</v>
      </c>
      <c r="G137" t="s">
        <v>175</v>
      </c>
      <c r="H137" t="s">
        <v>4</v>
      </c>
      <c r="I137" t="s">
        <v>189</v>
      </c>
      <c r="J137">
        <v>10</v>
      </c>
      <c r="K137" s="3">
        <v>15370</v>
      </c>
      <c r="L137" s="3">
        <v>153700</v>
      </c>
      <c r="M137" s="3">
        <v>104000</v>
      </c>
      <c r="N137" s="3">
        <v>49700</v>
      </c>
      <c r="O137" s="4">
        <v>0.323357189329863</v>
      </c>
      <c r="P137" t="s">
        <v>101</v>
      </c>
      <c r="Q137" t="s">
        <v>104</v>
      </c>
      <c r="R137" s="3">
        <v>149000</v>
      </c>
      <c r="S137" s="4">
        <v>1.03154362416107</v>
      </c>
      <c r="T137" s="4">
        <v>0.102765661955758</v>
      </c>
      <c r="U137" t="s">
        <v>116</v>
      </c>
      <c r="V137" s="4">
        <v>0.08</v>
      </c>
      <c r="W137">
        <v>4.5</v>
      </c>
    </row>
    <row r="138" spans="1:23">
      <c r="A138" t="s">
        <v>315</v>
      </c>
      <c r="B138" s="2">
        <v>45835</v>
      </c>
      <c r="C138" t="s">
        <v>38</v>
      </c>
      <c r="D138" t="s">
        <v>150</v>
      </c>
      <c r="E138" t="s">
        <v>26</v>
      </c>
      <c r="F138" t="s">
        <v>146</v>
      </c>
      <c r="G138" t="s">
        <v>147</v>
      </c>
      <c r="H138" t="s">
        <v>27</v>
      </c>
      <c r="I138" t="s">
        <v>148</v>
      </c>
      <c r="J138">
        <v>1</v>
      </c>
      <c r="K138" s="3">
        <v>20910</v>
      </c>
      <c r="L138" s="3">
        <v>20910</v>
      </c>
      <c r="M138" s="3">
        <v>13900</v>
      </c>
      <c r="N138" s="3">
        <v>7010</v>
      </c>
      <c r="O138" s="4">
        <v>0.335246293639407</v>
      </c>
      <c r="P138" t="s">
        <v>165</v>
      </c>
      <c r="Q138" t="s">
        <v>104</v>
      </c>
      <c r="R138" s="3">
        <v>19100</v>
      </c>
      <c r="S138" s="4">
        <v>1.09476439790576</v>
      </c>
      <c r="T138" s="4">
        <v>0.129926013035643</v>
      </c>
      <c r="U138" t="s">
        <v>116</v>
      </c>
      <c r="V138" s="4">
        <v>0.05</v>
      </c>
      <c r="W138">
        <v>4.1</v>
      </c>
    </row>
    <row r="139" spans="1:23">
      <c r="A139" t="s">
        <v>316</v>
      </c>
      <c r="B139" s="2">
        <v>45719</v>
      </c>
      <c r="C139" t="s">
        <v>35</v>
      </c>
      <c r="D139" t="s">
        <v>159</v>
      </c>
      <c r="E139" t="s">
        <v>29</v>
      </c>
      <c r="F139" t="s">
        <v>151</v>
      </c>
      <c r="G139" t="s">
        <v>164</v>
      </c>
      <c r="H139" t="s">
        <v>30</v>
      </c>
      <c r="I139" t="s">
        <v>169</v>
      </c>
      <c r="J139">
        <v>10</v>
      </c>
      <c r="K139" s="3">
        <v>3840</v>
      </c>
      <c r="L139" s="3">
        <v>38400</v>
      </c>
      <c r="M139" s="3">
        <v>17600</v>
      </c>
      <c r="N139" s="3">
        <v>20800</v>
      </c>
      <c r="O139" s="4">
        <v>0.541666666666667</v>
      </c>
      <c r="P139" t="s">
        <v>101</v>
      </c>
      <c r="Q139" t="s">
        <v>104</v>
      </c>
      <c r="R139" s="3">
        <v>42500</v>
      </c>
      <c r="S139" s="4">
        <v>0.903529411764706</v>
      </c>
      <c r="T139" s="4">
        <v>-0.0421398771780256</v>
      </c>
      <c r="U139" t="s">
        <v>116</v>
      </c>
      <c r="V139" s="4">
        <v>0.03</v>
      </c>
      <c r="W139">
        <v>4.2</v>
      </c>
    </row>
    <row r="140" spans="1:23">
      <c r="A140" t="s">
        <v>317</v>
      </c>
      <c r="B140" s="2">
        <v>45909</v>
      </c>
      <c r="C140" t="s">
        <v>41</v>
      </c>
      <c r="D140" t="s">
        <v>69</v>
      </c>
      <c r="E140" t="s">
        <v>29</v>
      </c>
      <c r="F140" t="s">
        <v>183</v>
      </c>
      <c r="G140" t="s">
        <v>164</v>
      </c>
      <c r="H140" t="s">
        <v>27</v>
      </c>
      <c r="I140" t="s">
        <v>157</v>
      </c>
      <c r="J140">
        <v>2</v>
      </c>
      <c r="K140" s="3">
        <v>12230</v>
      </c>
      <c r="L140" s="3">
        <v>24460</v>
      </c>
      <c r="M140" s="3">
        <v>15200</v>
      </c>
      <c r="N140" s="3">
        <v>9260</v>
      </c>
      <c r="O140" s="4">
        <v>0.37857726901063</v>
      </c>
      <c r="P140" t="s">
        <v>165</v>
      </c>
      <c r="Q140" t="s">
        <v>104</v>
      </c>
      <c r="R140" s="3">
        <v>27600</v>
      </c>
      <c r="S140" s="4">
        <v>0.886231884057971</v>
      </c>
      <c r="T140" s="4">
        <v>0.0745161367837163</v>
      </c>
      <c r="U140" t="s">
        <v>116</v>
      </c>
      <c r="V140" s="4">
        <v>0</v>
      </c>
      <c r="W140">
        <v>5</v>
      </c>
    </row>
    <row r="141" spans="1:23">
      <c r="A141" t="s">
        <v>318</v>
      </c>
      <c r="B141" s="2">
        <v>45971</v>
      </c>
      <c r="C141" t="s">
        <v>43</v>
      </c>
      <c r="D141" t="s">
        <v>145</v>
      </c>
      <c r="E141" t="s">
        <v>28</v>
      </c>
      <c r="F141" t="s">
        <v>155</v>
      </c>
      <c r="G141" t="s">
        <v>156</v>
      </c>
      <c r="H141" t="s">
        <v>25</v>
      </c>
      <c r="I141" t="s">
        <v>152</v>
      </c>
      <c r="J141">
        <v>7</v>
      </c>
      <c r="K141" s="3">
        <v>23220</v>
      </c>
      <c r="L141" s="3">
        <v>162540</v>
      </c>
      <c r="M141" s="3">
        <v>128800</v>
      </c>
      <c r="N141" s="3">
        <v>33740</v>
      </c>
      <c r="O141" s="4">
        <v>0.207579672695952</v>
      </c>
      <c r="P141" t="s">
        <v>165</v>
      </c>
      <c r="Q141" t="s">
        <v>153</v>
      </c>
      <c r="R141" s="3">
        <v>188900</v>
      </c>
      <c r="S141" s="4">
        <v>0.860455267337215</v>
      </c>
      <c r="T141" s="4">
        <v>0.14983177892048</v>
      </c>
      <c r="U141" t="s">
        <v>116</v>
      </c>
      <c r="V141" s="4">
        <v>0.08</v>
      </c>
      <c r="W141">
        <v>3.5</v>
      </c>
    </row>
    <row r="142" spans="1:23">
      <c r="A142" t="s">
        <v>319</v>
      </c>
      <c r="B142" s="2">
        <v>45825</v>
      </c>
      <c r="C142" t="s">
        <v>38</v>
      </c>
      <c r="D142" t="s">
        <v>150</v>
      </c>
      <c r="E142" t="s">
        <v>29</v>
      </c>
      <c r="F142" t="s">
        <v>73</v>
      </c>
      <c r="G142" t="s">
        <v>76</v>
      </c>
      <c r="H142" t="s">
        <v>30</v>
      </c>
      <c r="I142" t="s">
        <v>216</v>
      </c>
      <c r="J142">
        <v>6</v>
      </c>
      <c r="K142" s="3">
        <v>5770</v>
      </c>
      <c r="L142" s="3">
        <v>34620</v>
      </c>
      <c r="M142" s="3">
        <v>17520</v>
      </c>
      <c r="N142" s="3">
        <v>17100</v>
      </c>
      <c r="O142" s="4">
        <v>0.493934142114385</v>
      </c>
      <c r="P142" t="s">
        <v>165</v>
      </c>
      <c r="Q142" t="s">
        <v>104</v>
      </c>
      <c r="R142" s="3">
        <v>33000</v>
      </c>
      <c r="S142" s="4">
        <v>1.04909090909091</v>
      </c>
      <c r="T142" s="4">
        <v>0.148621783190804</v>
      </c>
      <c r="U142" t="s">
        <v>116</v>
      </c>
      <c r="V142" s="4">
        <v>0.05</v>
      </c>
      <c r="W142">
        <v>4.1</v>
      </c>
    </row>
    <row r="143" spans="1:23">
      <c r="A143" t="s">
        <v>320</v>
      </c>
      <c r="B143" s="2">
        <v>45753</v>
      </c>
      <c r="C143" t="s">
        <v>36</v>
      </c>
      <c r="D143" t="s">
        <v>150</v>
      </c>
      <c r="E143" t="s">
        <v>29</v>
      </c>
      <c r="F143" t="s">
        <v>183</v>
      </c>
      <c r="G143" t="s">
        <v>76</v>
      </c>
      <c r="H143" t="s">
        <v>30</v>
      </c>
      <c r="I143" t="s">
        <v>81</v>
      </c>
      <c r="J143">
        <v>3</v>
      </c>
      <c r="K143" s="3">
        <v>2110</v>
      </c>
      <c r="L143" s="3">
        <v>6330</v>
      </c>
      <c r="M143" s="3">
        <v>2790</v>
      </c>
      <c r="N143" s="3">
        <v>3540</v>
      </c>
      <c r="O143" s="4">
        <v>0.559241706161137</v>
      </c>
      <c r="P143" t="s">
        <v>165</v>
      </c>
      <c r="Q143" t="s">
        <v>153</v>
      </c>
      <c r="R143" s="3">
        <v>6500</v>
      </c>
      <c r="S143" s="4">
        <v>0.973846153846154</v>
      </c>
      <c r="T143" s="4">
        <v>0.0348837938931202</v>
      </c>
      <c r="U143" t="s">
        <v>211</v>
      </c>
      <c r="V143" s="4">
        <v>0</v>
      </c>
      <c r="W143">
        <v>4.3</v>
      </c>
    </row>
    <row r="144" spans="1:23">
      <c r="A144" t="s">
        <v>321</v>
      </c>
      <c r="B144" s="2">
        <v>45717</v>
      </c>
      <c r="C144" t="s">
        <v>35</v>
      </c>
      <c r="D144" t="s">
        <v>159</v>
      </c>
      <c r="E144" t="s">
        <v>26</v>
      </c>
      <c r="F144" t="s">
        <v>171</v>
      </c>
      <c r="G144" t="s">
        <v>147</v>
      </c>
      <c r="H144" t="s">
        <v>25</v>
      </c>
      <c r="I144" t="s">
        <v>207</v>
      </c>
      <c r="J144">
        <v>4</v>
      </c>
      <c r="K144" s="3">
        <v>69370</v>
      </c>
      <c r="L144" s="3">
        <v>277480</v>
      </c>
      <c r="M144" s="3">
        <v>210000</v>
      </c>
      <c r="N144" s="3">
        <v>67480</v>
      </c>
      <c r="O144" s="4">
        <v>0.243188698284561</v>
      </c>
      <c r="P144" t="s">
        <v>101</v>
      </c>
      <c r="Q144" t="s">
        <v>153</v>
      </c>
      <c r="R144" s="3">
        <v>287900</v>
      </c>
      <c r="S144" s="4">
        <v>0.963806877387982</v>
      </c>
      <c r="T144" s="4">
        <v>0.0180983185907599</v>
      </c>
      <c r="U144" t="s">
        <v>116</v>
      </c>
      <c r="V144" s="4">
        <v>0.08</v>
      </c>
      <c r="W144">
        <v>4.8</v>
      </c>
    </row>
    <row r="145" spans="1:23">
      <c r="A145" t="s">
        <v>322</v>
      </c>
      <c r="B145" s="2">
        <v>46020</v>
      </c>
      <c r="C145" t="s">
        <v>44</v>
      </c>
      <c r="D145" t="s">
        <v>145</v>
      </c>
      <c r="E145" t="s">
        <v>24</v>
      </c>
      <c r="F145" t="s">
        <v>179</v>
      </c>
      <c r="G145" t="s">
        <v>180</v>
      </c>
      <c r="H145" t="s">
        <v>30</v>
      </c>
      <c r="I145" t="s">
        <v>216</v>
      </c>
      <c r="J145">
        <v>3</v>
      </c>
      <c r="K145" s="3">
        <v>5710</v>
      </c>
      <c r="L145" s="3">
        <v>17130</v>
      </c>
      <c r="M145" s="3">
        <v>8760</v>
      </c>
      <c r="N145" s="3">
        <v>8370</v>
      </c>
      <c r="O145" s="4">
        <v>0.48861646234676</v>
      </c>
      <c r="P145" t="s">
        <v>101</v>
      </c>
      <c r="Q145" t="s">
        <v>153</v>
      </c>
      <c r="R145" s="3">
        <v>18300</v>
      </c>
      <c r="S145" s="4">
        <v>0.936065573770492</v>
      </c>
      <c r="T145" s="4">
        <v>0.170471143521497</v>
      </c>
      <c r="U145" t="s">
        <v>116</v>
      </c>
      <c r="V145" s="4">
        <v>0.05</v>
      </c>
      <c r="W145">
        <v>3.7</v>
      </c>
    </row>
    <row r="146" spans="1:23">
      <c r="A146" t="s">
        <v>323</v>
      </c>
      <c r="B146" s="2">
        <v>45691</v>
      </c>
      <c r="C146" t="s">
        <v>34</v>
      </c>
      <c r="D146" t="s">
        <v>159</v>
      </c>
      <c r="E146" t="s">
        <v>26</v>
      </c>
      <c r="F146" t="s">
        <v>171</v>
      </c>
      <c r="G146" t="s">
        <v>175</v>
      </c>
      <c r="H146" t="s">
        <v>25</v>
      </c>
      <c r="I146" t="s">
        <v>152</v>
      </c>
      <c r="J146">
        <v>14</v>
      </c>
      <c r="K146" s="3">
        <v>24870</v>
      </c>
      <c r="L146" s="3">
        <v>348180</v>
      </c>
      <c r="M146" s="3">
        <v>257600</v>
      </c>
      <c r="N146" s="3">
        <v>90580</v>
      </c>
      <c r="O146" s="4">
        <v>0.260152794531564</v>
      </c>
      <c r="P146" t="s">
        <v>101</v>
      </c>
      <c r="Q146" t="s">
        <v>153</v>
      </c>
      <c r="R146" s="3">
        <v>376500</v>
      </c>
      <c r="S146" s="4">
        <v>0.924780876494024</v>
      </c>
      <c r="T146" s="4">
        <v>0.0938592582335517</v>
      </c>
      <c r="U146" t="s">
        <v>116</v>
      </c>
      <c r="V146" s="4">
        <v>0.03</v>
      </c>
      <c r="W146">
        <v>3.7</v>
      </c>
    </row>
    <row r="147" spans="1:23">
      <c r="A147" t="s">
        <v>324</v>
      </c>
      <c r="B147" s="2">
        <v>45877</v>
      </c>
      <c r="C147" t="s">
        <v>40</v>
      </c>
      <c r="D147" t="s">
        <v>69</v>
      </c>
      <c r="E147" t="s">
        <v>29</v>
      </c>
      <c r="F147" t="s">
        <v>151</v>
      </c>
      <c r="G147" t="s">
        <v>76</v>
      </c>
      <c r="H147" t="s">
        <v>27</v>
      </c>
      <c r="I147" t="s">
        <v>162</v>
      </c>
      <c r="J147">
        <v>4</v>
      </c>
      <c r="K147" s="3">
        <v>20120</v>
      </c>
      <c r="L147" s="3">
        <v>80480</v>
      </c>
      <c r="M147" s="3">
        <v>50400</v>
      </c>
      <c r="N147" s="3">
        <v>30080</v>
      </c>
      <c r="O147" s="4">
        <v>0.37375745526839</v>
      </c>
      <c r="P147" t="s">
        <v>101</v>
      </c>
      <c r="Q147" t="s">
        <v>104</v>
      </c>
      <c r="R147" s="3">
        <v>76600</v>
      </c>
      <c r="S147" s="4">
        <v>1.05065274151436</v>
      </c>
      <c r="T147" s="4">
        <v>-0.0480002010065868</v>
      </c>
      <c r="U147" t="s">
        <v>116</v>
      </c>
      <c r="V147" s="4">
        <v>0</v>
      </c>
      <c r="W147">
        <v>3.6</v>
      </c>
    </row>
    <row r="148" spans="1:23">
      <c r="A148" t="s">
        <v>325</v>
      </c>
      <c r="B148" s="2">
        <v>45841</v>
      </c>
      <c r="C148" t="s">
        <v>39</v>
      </c>
      <c r="D148" t="s">
        <v>69</v>
      </c>
      <c r="E148" t="s">
        <v>29</v>
      </c>
      <c r="F148" t="s">
        <v>151</v>
      </c>
      <c r="G148" t="s">
        <v>164</v>
      </c>
      <c r="H148" t="s">
        <v>4</v>
      </c>
      <c r="I148" t="s">
        <v>184</v>
      </c>
      <c r="J148">
        <v>7</v>
      </c>
      <c r="K148" s="3">
        <v>13780</v>
      </c>
      <c r="L148" s="3">
        <v>96460</v>
      </c>
      <c r="M148" s="3">
        <v>57750</v>
      </c>
      <c r="N148" s="3">
        <v>38710</v>
      </c>
      <c r="O148" s="4">
        <v>0.401306240928882</v>
      </c>
      <c r="P148" t="s">
        <v>101</v>
      </c>
      <c r="Q148" t="s">
        <v>104</v>
      </c>
      <c r="R148" s="3">
        <v>96900</v>
      </c>
      <c r="S148" s="4">
        <v>0.995459236326109</v>
      </c>
      <c r="T148" s="4">
        <v>0.199379804691929</v>
      </c>
      <c r="U148" t="s">
        <v>116</v>
      </c>
      <c r="V148" s="4">
        <v>0</v>
      </c>
      <c r="W148">
        <v>4.3</v>
      </c>
    </row>
    <row r="149" spans="1:23">
      <c r="A149" t="s">
        <v>326</v>
      </c>
      <c r="B149" s="2">
        <v>45752</v>
      </c>
      <c r="C149" t="s">
        <v>36</v>
      </c>
      <c r="D149" t="s">
        <v>150</v>
      </c>
      <c r="E149" t="s">
        <v>28</v>
      </c>
      <c r="F149" t="s">
        <v>167</v>
      </c>
      <c r="G149" t="s">
        <v>156</v>
      </c>
      <c r="H149" t="s">
        <v>25</v>
      </c>
      <c r="I149" t="s">
        <v>152</v>
      </c>
      <c r="J149">
        <v>8</v>
      </c>
      <c r="K149" s="3">
        <v>25520</v>
      </c>
      <c r="L149" s="3">
        <v>204160</v>
      </c>
      <c r="M149" s="3">
        <v>147200</v>
      </c>
      <c r="N149" s="3">
        <v>56960</v>
      </c>
      <c r="O149" s="4">
        <v>0.278996865203762</v>
      </c>
      <c r="P149" t="s">
        <v>101</v>
      </c>
      <c r="Q149" t="s">
        <v>104</v>
      </c>
      <c r="R149" s="3">
        <v>235900</v>
      </c>
      <c r="S149" s="4">
        <v>0.865451462484103</v>
      </c>
      <c r="T149" s="4">
        <v>0.0151818826009137</v>
      </c>
      <c r="U149" t="s">
        <v>116</v>
      </c>
      <c r="V149" s="4">
        <v>0</v>
      </c>
      <c r="W149">
        <v>4.5</v>
      </c>
    </row>
    <row r="150" spans="1:23">
      <c r="A150" t="s">
        <v>327</v>
      </c>
      <c r="B150" s="2">
        <v>45940</v>
      </c>
      <c r="C150" t="s">
        <v>42</v>
      </c>
      <c r="D150" t="s">
        <v>145</v>
      </c>
      <c r="E150" t="s">
        <v>26</v>
      </c>
      <c r="F150" t="s">
        <v>146</v>
      </c>
      <c r="G150" t="s">
        <v>147</v>
      </c>
      <c r="H150" t="s">
        <v>4</v>
      </c>
      <c r="I150" t="s">
        <v>184</v>
      </c>
      <c r="J150">
        <v>15</v>
      </c>
      <c r="K150" s="3">
        <v>14060</v>
      </c>
      <c r="L150" s="3">
        <v>210900</v>
      </c>
      <c r="M150" s="3">
        <v>123750</v>
      </c>
      <c r="N150" s="3">
        <v>87150</v>
      </c>
      <c r="O150" s="4">
        <v>0.413229018492176</v>
      </c>
      <c r="P150" t="s">
        <v>165</v>
      </c>
      <c r="Q150" t="s">
        <v>104</v>
      </c>
      <c r="R150" s="3">
        <v>217300</v>
      </c>
      <c r="S150" s="4">
        <v>0.970547630004602</v>
      </c>
      <c r="T150" s="4">
        <v>-0.0687794652769113</v>
      </c>
      <c r="U150" t="s">
        <v>116</v>
      </c>
      <c r="V150" s="4">
        <v>0</v>
      </c>
      <c r="W150">
        <v>4.8</v>
      </c>
    </row>
    <row r="151" spans="1:23">
      <c r="A151" t="s">
        <v>328</v>
      </c>
      <c r="B151" s="2">
        <v>45942</v>
      </c>
      <c r="C151" t="s">
        <v>42</v>
      </c>
      <c r="D151" t="s">
        <v>145</v>
      </c>
      <c r="E151" t="s">
        <v>28</v>
      </c>
      <c r="F151" t="s">
        <v>167</v>
      </c>
      <c r="G151" t="s">
        <v>156</v>
      </c>
      <c r="H151" t="s">
        <v>4</v>
      </c>
      <c r="I151" t="s">
        <v>172</v>
      </c>
      <c r="J151">
        <v>8</v>
      </c>
      <c r="K151" s="3">
        <v>11050</v>
      </c>
      <c r="L151" s="3">
        <v>88400</v>
      </c>
      <c r="M151" s="3">
        <v>56800</v>
      </c>
      <c r="N151" s="3">
        <v>31600</v>
      </c>
      <c r="O151" s="4">
        <v>0.357466063348416</v>
      </c>
      <c r="P151" t="s">
        <v>165</v>
      </c>
      <c r="Q151" t="s">
        <v>153</v>
      </c>
      <c r="R151" s="3">
        <v>85500</v>
      </c>
      <c r="S151" s="4">
        <v>1.03391812865497</v>
      </c>
      <c r="T151" s="4">
        <v>0.149680093470044</v>
      </c>
      <c r="U151" t="s">
        <v>116</v>
      </c>
      <c r="V151" s="4">
        <v>0.05</v>
      </c>
      <c r="W151">
        <v>3.7</v>
      </c>
    </row>
    <row r="152" spans="1:23">
      <c r="A152" t="s">
        <v>329</v>
      </c>
      <c r="B152" s="2">
        <v>45820</v>
      </c>
      <c r="C152" t="s">
        <v>38</v>
      </c>
      <c r="D152" t="s">
        <v>150</v>
      </c>
      <c r="E152" t="s">
        <v>28</v>
      </c>
      <c r="F152" t="s">
        <v>167</v>
      </c>
      <c r="G152" t="s">
        <v>168</v>
      </c>
      <c r="H152" t="s">
        <v>4</v>
      </c>
      <c r="I152" t="s">
        <v>189</v>
      </c>
      <c r="J152">
        <v>10</v>
      </c>
      <c r="K152" s="3">
        <v>17080</v>
      </c>
      <c r="L152" s="3">
        <v>170800</v>
      </c>
      <c r="M152" s="3">
        <v>104000</v>
      </c>
      <c r="N152" s="3">
        <v>66800</v>
      </c>
      <c r="O152" s="4">
        <v>0.391100702576112</v>
      </c>
      <c r="P152" t="s">
        <v>101</v>
      </c>
      <c r="Q152" t="s">
        <v>104</v>
      </c>
      <c r="R152" s="3">
        <v>166300</v>
      </c>
      <c r="S152" s="4">
        <v>1.02705953096813</v>
      </c>
      <c r="T152" s="4">
        <v>-0.0059285081957936</v>
      </c>
      <c r="U152" t="s">
        <v>116</v>
      </c>
      <c r="V152" s="4">
        <v>0</v>
      </c>
      <c r="W152">
        <v>4.6</v>
      </c>
    </row>
    <row r="153" spans="1:23">
      <c r="A153" t="s">
        <v>330</v>
      </c>
      <c r="B153" s="2">
        <v>45699</v>
      </c>
      <c r="C153" t="s">
        <v>34</v>
      </c>
      <c r="D153" t="s">
        <v>159</v>
      </c>
      <c r="E153" t="s">
        <v>26</v>
      </c>
      <c r="F153" t="s">
        <v>146</v>
      </c>
      <c r="G153" t="s">
        <v>147</v>
      </c>
      <c r="H153" t="s">
        <v>4</v>
      </c>
      <c r="I153" t="s">
        <v>189</v>
      </c>
      <c r="J153">
        <v>7</v>
      </c>
      <c r="K153" s="3">
        <v>16200</v>
      </c>
      <c r="L153" s="3">
        <v>113400</v>
      </c>
      <c r="M153" s="3">
        <v>72800</v>
      </c>
      <c r="N153" s="3">
        <v>40600</v>
      </c>
      <c r="O153" s="4">
        <v>0.358024691358025</v>
      </c>
      <c r="P153" t="s">
        <v>165</v>
      </c>
      <c r="Q153" t="s">
        <v>153</v>
      </c>
      <c r="R153" s="3">
        <v>113300</v>
      </c>
      <c r="S153" s="4">
        <v>1.0008826125331</v>
      </c>
      <c r="T153" s="4">
        <v>-0.0129405615938762</v>
      </c>
      <c r="U153" t="s">
        <v>116</v>
      </c>
      <c r="V153" s="4">
        <v>0</v>
      </c>
      <c r="W153">
        <v>4.4</v>
      </c>
    </row>
    <row r="154" spans="1:23">
      <c r="A154" t="s">
        <v>331</v>
      </c>
      <c r="B154" s="2">
        <v>45979</v>
      </c>
      <c r="C154" t="s">
        <v>43</v>
      </c>
      <c r="D154" t="s">
        <v>145</v>
      </c>
      <c r="E154" t="s">
        <v>29</v>
      </c>
      <c r="F154" t="s">
        <v>183</v>
      </c>
      <c r="G154" t="s">
        <v>76</v>
      </c>
      <c r="H154" t="s">
        <v>27</v>
      </c>
      <c r="I154" t="s">
        <v>148</v>
      </c>
      <c r="J154">
        <v>10</v>
      </c>
      <c r="K154" s="3">
        <v>20670</v>
      </c>
      <c r="L154" s="3">
        <v>206700</v>
      </c>
      <c r="M154" s="3">
        <v>139000</v>
      </c>
      <c r="N154" s="3">
        <v>67700</v>
      </c>
      <c r="O154" s="4">
        <v>0.327527818093856</v>
      </c>
      <c r="P154" t="s">
        <v>165</v>
      </c>
      <c r="Q154" t="s">
        <v>153</v>
      </c>
      <c r="R154" s="3">
        <v>198100</v>
      </c>
      <c r="S154" s="4">
        <v>1.04341241797072</v>
      </c>
      <c r="T154" s="4">
        <v>0.0635486904548894</v>
      </c>
      <c r="U154" t="s">
        <v>116</v>
      </c>
      <c r="V154" s="4">
        <v>0.03</v>
      </c>
      <c r="W154">
        <v>4.9</v>
      </c>
    </row>
    <row r="155" spans="1:23">
      <c r="A155" t="s">
        <v>332</v>
      </c>
      <c r="B155" s="2">
        <v>45970</v>
      </c>
      <c r="C155" t="s">
        <v>43</v>
      </c>
      <c r="D155" t="s">
        <v>145</v>
      </c>
      <c r="E155" t="s">
        <v>28</v>
      </c>
      <c r="F155" t="s">
        <v>177</v>
      </c>
      <c r="G155" t="s">
        <v>156</v>
      </c>
      <c r="H155" t="s">
        <v>30</v>
      </c>
      <c r="I155" t="s">
        <v>81</v>
      </c>
      <c r="J155">
        <v>12</v>
      </c>
      <c r="K155" s="3">
        <v>2140</v>
      </c>
      <c r="L155" s="3">
        <v>25680</v>
      </c>
      <c r="M155" s="3">
        <v>11160</v>
      </c>
      <c r="N155" s="3">
        <v>14520</v>
      </c>
      <c r="O155" s="4">
        <v>0.565420560747664</v>
      </c>
      <c r="P155" t="s">
        <v>165</v>
      </c>
      <c r="Q155" t="s">
        <v>104</v>
      </c>
      <c r="R155" s="3">
        <v>29700</v>
      </c>
      <c r="S155" s="4">
        <v>0.864646464646465</v>
      </c>
      <c r="T155" s="4">
        <v>0.047523653416258</v>
      </c>
      <c r="U155" t="s">
        <v>116</v>
      </c>
      <c r="V155" s="4">
        <v>0.03</v>
      </c>
      <c r="W155">
        <v>4.2</v>
      </c>
    </row>
    <row r="156" spans="1:23">
      <c r="A156" t="s">
        <v>333</v>
      </c>
      <c r="B156" s="2">
        <v>45734</v>
      </c>
      <c r="C156" t="s">
        <v>35</v>
      </c>
      <c r="D156" t="s">
        <v>159</v>
      </c>
      <c r="E156" t="s">
        <v>26</v>
      </c>
      <c r="F156" t="s">
        <v>171</v>
      </c>
      <c r="G156" t="s">
        <v>175</v>
      </c>
      <c r="H156" t="s">
        <v>25</v>
      </c>
      <c r="I156" t="s">
        <v>207</v>
      </c>
      <c r="J156">
        <v>10</v>
      </c>
      <c r="K156" s="3">
        <v>72060</v>
      </c>
      <c r="L156" s="3">
        <v>720600</v>
      </c>
      <c r="M156" s="3">
        <v>525000</v>
      </c>
      <c r="N156" s="3">
        <v>195600</v>
      </c>
      <c r="O156" s="4">
        <v>0.271440466278102</v>
      </c>
      <c r="P156" t="s">
        <v>101</v>
      </c>
      <c r="Q156" t="s">
        <v>153</v>
      </c>
      <c r="R156" s="3">
        <v>666800</v>
      </c>
      <c r="S156" s="4">
        <v>1.08068386322735</v>
      </c>
      <c r="T156" s="4">
        <v>0.183331522407036</v>
      </c>
      <c r="U156" t="s">
        <v>116</v>
      </c>
      <c r="V156" s="4">
        <v>0</v>
      </c>
      <c r="W156">
        <v>4.9</v>
      </c>
    </row>
    <row r="157" spans="1:23">
      <c r="A157" t="s">
        <v>334</v>
      </c>
      <c r="B157" s="2">
        <v>45727</v>
      </c>
      <c r="C157" t="s">
        <v>35</v>
      </c>
      <c r="D157" t="s">
        <v>159</v>
      </c>
      <c r="E157" t="s">
        <v>28</v>
      </c>
      <c r="F157" t="s">
        <v>155</v>
      </c>
      <c r="G157" t="s">
        <v>156</v>
      </c>
      <c r="H157" t="s">
        <v>27</v>
      </c>
      <c r="I157" t="s">
        <v>148</v>
      </c>
      <c r="J157">
        <v>5</v>
      </c>
      <c r="K157" s="3">
        <v>19490</v>
      </c>
      <c r="L157" s="3">
        <v>97450</v>
      </c>
      <c r="M157" s="3">
        <v>69500</v>
      </c>
      <c r="N157" s="3">
        <v>27950</v>
      </c>
      <c r="O157" s="4">
        <v>0.286813750641355</v>
      </c>
      <c r="P157" t="s">
        <v>165</v>
      </c>
      <c r="Q157" t="s">
        <v>153</v>
      </c>
      <c r="R157" s="3">
        <v>111600</v>
      </c>
      <c r="S157" s="4">
        <v>0.87320788530466</v>
      </c>
      <c r="T157" s="4">
        <v>-0.0246383608289004</v>
      </c>
      <c r="U157" t="s">
        <v>116</v>
      </c>
      <c r="V157" s="4">
        <v>0.05</v>
      </c>
      <c r="W157">
        <v>3.6</v>
      </c>
    </row>
    <row r="158" spans="1:23">
      <c r="A158" t="s">
        <v>335</v>
      </c>
      <c r="B158" s="2">
        <v>45935</v>
      </c>
      <c r="C158" t="s">
        <v>42</v>
      </c>
      <c r="D158" t="s">
        <v>145</v>
      </c>
      <c r="E158" t="s">
        <v>28</v>
      </c>
      <c r="F158" t="s">
        <v>177</v>
      </c>
      <c r="G158" t="s">
        <v>156</v>
      </c>
      <c r="H158" t="s">
        <v>27</v>
      </c>
      <c r="I158" t="s">
        <v>157</v>
      </c>
      <c r="J158">
        <v>8</v>
      </c>
      <c r="K158" s="3">
        <v>12180</v>
      </c>
      <c r="L158" s="3">
        <v>97440</v>
      </c>
      <c r="M158" s="3">
        <v>60800</v>
      </c>
      <c r="N158" s="3">
        <v>36640</v>
      </c>
      <c r="O158" s="4">
        <v>0.376026272577997</v>
      </c>
      <c r="P158" t="s">
        <v>165</v>
      </c>
      <c r="Q158" t="s">
        <v>153</v>
      </c>
      <c r="R158" s="3">
        <v>89600</v>
      </c>
      <c r="S158" s="4">
        <v>1.0875</v>
      </c>
      <c r="T158" s="4">
        <v>0.158677722718185</v>
      </c>
      <c r="U158" t="s">
        <v>116</v>
      </c>
      <c r="V158" s="4">
        <v>0</v>
      </c>
      <c r="W158">
        <v>3.7</v>
      </c>
    </row>
    <row r="159" spans="1:23">
      <c r="A159" t="s">
        <v>336</v>
      </c>
      <c r="B159" s="2">
        <v>45898</v>
      </c>
      <c r="C159" t="s">
        <v>40</v>
      </c>
      <c r="D159" t="s">
        <v>69</v>
      </c>
      <c r="E159" t="s">
        <v>26</v>
      </c>
      <c r="F159" t="s">
        <v>174</v>
      </c>
      <c r="G159" t="s">
        <v>175</v>
      </c>
      <c r="H159" t="s">
        <v>4</v>
      </c>
      <c r="I159" t="s">
        <v>189</v>
      </c>
      <c r="J159">
        <v>15</v>
      </c>
      <c r="K159" s="3">
        <v>15920</v>
      </c>
      <c r="L159" s="3">
        <v>238800</v>
      </c>
      <c r="M159" s="3">
        <v>156000</v>
      </c>
      <c r="N159" s="3">
        <v>82800</v>
      </c>
      <c r="O159" s="4">
        <v>0.346733668341709</v>
      </c>
      <c r="P159" t="s">
        <v>165</v>
      </c>
      <c r="Q159" t="s">
        <v>104</v>
      </c>
      <c r="R159" s="3">
        <v>264600</v>
      </c>
      <c r="S159" s="4">
        <v>0.90249433106576</v>
      </c>
      <c r="T159" s="4">
        <v>0.110335878172027</v>
      </c>
      <c r="U159" t="s">
        <v>116</v>
      </c>
      <c r="V159" s="4">
        <v>0.03</v>
      </c>
      <c r="W159">
        <v>3.9</v>
      </c>
    </row>
    <row r="160" spans="1:23">
      <c r="A160" t="s">
        <v>337</v>
      </c>
      <c r="B160" s="2">
        <v>45742</v>
      </c>
      <c r="C160" t="s">
        <v>35</v>
      </c>
      <c r="D160" t="s">
        <v>159</v>
      </c>
      <c r="E160" t="s">
        <v>26</v>
      </c>
      <c r="F160" t="s">
        <v>171</v>
      </c>
      <c r="G160" t="s">
        <v>147</v>
      </c>
      <c r="H160" t="s">
        <v>4</v>
      </c>
      <c r="I160" t="s">
        <v>184</v>
      </c>
      <c r="J160">
        <v>7</v>
      </c>
      <c r="K160" s="3">
        <v>13270</v>
      </c>
      <c r="L160" s="3">
        <v>92890</v>
      </c>
      <c r="M160" s="3">
        <v>57750</v>
      </c>
      <c r="N160" s="3">
        <v>35140</v>
      </c>
      <c r="O160" s="4">
        <v>0.378296910324039</v>
      </c>
      <c r="P160" t="s">
        <v>165</v>
      </c>
      <c r="Q160" t="s">
        <v>153</v>
      </c>
      <c r="R160" s="3">
        <v>107300</v>
      </c>
      <c r="S160" s="4">
        <v>0.865703634669152</v>
      </c>
      <c r="T160" s="4">
        <v>-0.0400853337123372</v>
      </c>
      <c r="U160" t="s">
        <v>116</v>
      </c>
      <c r="V160" s="4">
        <v>0</v>
      </c>
      <c r="W160">
        <v>4.4</v>
      </c>
    </row>
    <row r="161" spans="1:23">
      <c r="A161" t="s">
        <v>338</v>
      </c>
      <c r="B161" s="2">
        <v>45968</v>
      </c>
      <c r="C161" t="s">
        <v>43</v>
      </c>
      <c r="D161" t="s">
        <v>145</v>
      </c>
      <c r="E161" t="s">
        <v>29</v>
      </c>
      <c r="F161" t="s">
        <v>183</v>
      </c>
      <c r="G161" t="s">
        <v>164</v>
      </c>
      <c r="H161" t="s">
        <v>4</v>
      </c>
      <c r="I161" t="s">
        <v>172</v>
      </c>
      <c r="J161">
        <v>1</v>
      </c>
      <c r="K161" s="3">
        <v>11170</v>
      </c>
      <c r="L161" s="3">
        <v>11170</v>
      </c>
      <c r="M161" s="3">
        <v>7100</v>
      </c>
      <c r="N161" s="3">
        <v>4070</v>
      </c>
      <c r="O161" s="4">
        <v>0.364368845120859</v>
      </c>
      <c r="P161" t="s">
        <v>165</v>
      </c>
      <c r="Q161" t="s">
        <v>104</v>
      </c>
      <c r="R161" s="3">
        <v>10700</v>
      </c>
      <c r="S161" s="4">
        <v>1.04392523364486</v>
      </c>
      <c r="T161" s="4">
        <v>0.0214414898634098</v>
      </c>
      <c r="U161" t="s">
        <v>116</v>
      </c>
      <c r="V161" s="4">
        <v>0</v>
      </c>
      <c r="W161">
        <v>4.4</v>
      </c>
    </row>
    <row r="162" spans="1:23">
      <c r="A162" t="s">
        <v>339</v>
      </c>
      <c r="B162" s="2">
        <v>45950</v>
      </c>
      <c r="C162" t="s">
        <v>42</v>
      </c>
      <c r="D162" t="s">
        <v>145</v>
      </c>
      <c r="E162" t="s">
        <v>24</v>
      </c>
      <c r="F162" t="s">
        <v>160</v>
      </c>
      <c r="G162" t="s">
        <v>180</v>
      </c>
      <c r="H162" t="s">
        <v>30</v>
      </c>
      <c r="I162" t="s">
        <v>216</v>
      </c>
      <c r="J162">
        <v>1</v>
      </c>
      <c r="K162" s="3">
        <v>5630</v>
      </c>
      <c r="L162" s="3">
        <v>5630</v>
      </c>
      <c r="M162" s="3">
        <v>2920</v>
      </c>
      <c r="N162" s="3">
        <v>2710</v>
      </c>
      <c r="O162" s="4">
        <v>0.481349911190053</v>
      </c>
      <c r="P162" t="s">
        <v>101</v>
      </c>
      <c r="Q162" t="s">
        <v>104</v>
      </c>
      <c r="R162" s="3">
        <v>5800</v>
      </c>
      <c r="S162" s="4">
        <v>0.970689655172414</v>
      </c>
      <c r="T162" s="4">
        <v>0.00519148587421758</v>
      </c>
      <c r="U162" t="s">
        <v>116</v>
      </c>
      <c r="V162" s="4">
        <v>0</v>
      </c>
      <c r="W162">
        <v>3.4</v>
      </c>
    </row>
    <row r="163" spans="1:23">
      <c r="A163" t="s">
        <v>340</v>
      </c>
      <c r="B163" s="2">
        <v>45910</v>
      </c>
      <c r="C163" t="s">
        <v>41</v>
      </c>
      <c r="D163" t="s">
        <v>69</v>
      </c>
      <c r="E163" t="s">
        <v>26</v>
      </c>
      <c r="F163" t="s">
        <v>171</v>
      </c>
      <c r="G163" t="s">
        <v>147</v>
      </c>
      <c r="H163" t="s">
        <v>30</v>
      </c>
      <c r="I163" t="s">
        <v>169</v>
      </c>
      <c r="J163">
        <v>8</v>
      </c>
      <c r="K163" s="3">
        <v>3900</v>
      </c>
      <c r="L163" s="3">
        <v>31200</v>
      </c>
      <c r="M163" s="3">
        <v>14080</v>
      </c>
      <c r="N163" s="3">
        <v>17120</v>
      </c>
      <c r="O163" s="4">
        <v>0.548717948717949</v>
      </c>
      <c r="P163" t="s">
        <v>165</v>
      </c>
      <c r="Q163" t="s">
        <v>153</v>
      </c>
      <c r="R163" s="3">
        <v>36400</v>
      </c>
      <c r="S163" s="4">
        <v>0.857142857142857</v>
      </c>
      <c r="T163" s="4">
        <v>-0.00572906464263651</v>
      </c>
      <c r="U163" t="s">
        <v>116</v>
      </c>
      <c r="V163" s="4">
        <v>0</v>
      </c>
      <c r="W163">
        <v>3.6</v>
      </c>
    </row>
    <row r="164" spans="1:23">
      <c r="A164" t="s">
        <v>341</v>
      </c>
      <c r="B164" s="2">
        <v>45706</v>
      </c>
      <c r="C164" t="s">
        <v>34</v>
      </c>
      <c r="D164" t="s">
        <v>159</v>
      </c>
      <c r="E164" t="s">
        <v>24</v>
      </c>
      <c r="F164" t="s">
        <v>179</v>
      </c>
      <c r="G164" t="s">
        <v>180</v>
      </c>
      <c r="H164" t="s">
        <v>4</v>
      </c>
      <c r="I164" t="s">
        <v>184</v>
      </c>
      <c r="J164">
        <v>6</v>
      </c>
      <c r="K164" s="3">
        <v>13490</v>
      </c>
      <c r="L164" s="3">
        <v>80940</v>
      </c>
      <c r="M164" s="3">
        <v>49500</v>
      </c>
      <c r="N164" s="3">
        <v>31440</v>
      </c>
      <c r="O164" s="4">
        <v>0.388435878428466</v>
      </c>
      <c r="P164" t="s">
        <v>101</v>
      </c>
      <c r="Q164" t="s">
        <v>104</v>
      </c>
      <c r="R164" s="3">
        <v>90500</v>
      </c>
      <c r="S164" s="4">
        <v>0.894364640883978</v>
      </c>
      <c r="T164" s="4">
        <v>0.0720149033793326</v>
      </c>
      <c r="U164" t="s">
        <v>116</v>
      </c>
      <c r="V164" s="4">
        <v>0</v>
      </c>
      <c r="W164">
        <v>3.7</v>
      </c>
    </row>
    <row r="165" spans="1:23">
      <c r="A165" t="s">
        <v>342</v>
      </c>
      <c r="B165" s="2">
        <v>45984</v>
      </c>
      <c r="C165" t="s">
        <v>43</v>
      </c>
      <c r="D165" t="s">
        <v>145</v>
      </c>
      <c r="E165" t="s">
        <v>26</v>
      </c>
      <c r="F165" t="s">
        <v>146</v>
      </c>
      <c r="G165" t="s">
        <v>147</v>
      </c>
      <c r="H165" t="s">
        <v>27</v>
      </c>
      <c r="I165" t="s">
        <v>162</v>
      </c>
      <c r="J165">
        <v>11</v>
      </c>
      <c r="K165" s="3">
        <v>19200</v>
      </c>
      <c r="L165" s="3">
        <v>211200</v>
      </c>
      <c r="M165" s="3">
        <v>138600</v>
      </c>
      <c r="N165" s="3">
        <v>72600</v>
      </c>
      <c r="O165" s="4">
        <v>0.34375</v>
      </c>
      <c r="P165" t="s">
        <v>101</v>
      </c>
      <c r="Q165" t="s">
        <v>104</v>
      </c>
      <c r="R165" s="3">
        <v>243800</v>
      </c>
      <c r="S165" s="4">
        <v>0.866283839212469</v>
      </c>
      <c r="T165" s="4">
        <v>0.129314654063355</v>
      </c>
      <c r="U165" t="s">
        <v>116</v>
      </c>
      <c r="V165" s="4">
        <v>0</v>
      </c>
      <c r="W165">
        <v>4.5</v>
      </c>
    </row>
    <row r="166" spans="1:23">
      <c r="A166" t="s">
        <v>343</v>
      </c>
      <c r="B166" s="2">
        <v>45858</v>
      </c>
      <c r="C166" t="s">
        <v>39</v>
      </c>
      <c r="D166" t="s">
        <v>69</v>
      </c>
      <c r="E166" t="s">
        <v>26</v>
      </c>
      <c r="F166" t="s">
        <v>146</v>
      </c>
      <c r="G166" t="s">
        <v>147</v>
      </c>
      <c r="H166" t="s">
        <v>25</v>
      </c>
      <c r="I166" t="s">
        <v>207</v>
      </c>
      <c r="J166">
        <v>14</v>
      </c>
      <c r="K166" s="3">
        <v>70780</v>
      </c>
      <c r="L166" s="3">
        <v>990920</v>
      </c>
      <c r="M166" s="3">
        <v>735000</v>
      </c>
      <c r="N166" s="3">
        <v>255920</v>
      </c>
      <c r="O166" s="4">
        <v>0.25826504662334</v>
      </c>
      <c r="P166" t="s">
        <v>165</v>
      </c>
      <c r="Q166" t="s">
        <v>153</v>
      </c>
      <c r="R166" s="3">
        <v>1145500</v>
      </c>
      <c r="S166" s="4">
        <v>0.865054561326931</v>
      </c>
      <c r="T166" s="4">
        <v>0.154213165652397</v>
      </c>
      <c r="U166" t="s">
        <v>116</v>
      </c>
      <c r="V166" s="4">
        <v>0</v>
      </c>
      <c r="W166">
        <v>4.2</v>
      </c>
    </row>
    <row r="167" spans="1:23">
      <c r="A167" t="s">
        <v>344</v>
      </c>
      <c r="B167" s="2">
        <v>45954</v>
      </c>
      <c r="C167" t="s">
        <v>42</v>
      </c>
      <c r="D167" t="s">
        <v>145</v>
      </c>
      <c r="E167" t="s">
        <v>29</v>
      </c>
      <c r="F167" t="s">
        <v>183</v>
      </c>
      <c r="G167" t="s">
        <v>164</v>
      </c>
      <c r="H167" t="s">
        <v>30</v>
      </c>
      <c r="I167" t="s">
        <v>81</v>
      </c>
      <c r="J167">
        <v>6</v>
      </c>
      <c r="K167" s="3">
        <v>2200</v>
      </c>
      <c r="L167" s="3">
        <v>13200</v>
      </c>
      <c r="M167" s="3">
        <v>5580</v>
      </c>
      <c r="N167" s="3">
        <v>7620</v>
      </c>
      <c r="O167" s="4">
        <v>0.577272727272727</v>
      </c>
      <c r="P167" t="s">
        <v>165</v>
      </c>
      <c r="Q167" t="s">
        <v>104</v>
      </c>
      <c r="R167" s="3">
        <v>12100</v>
      </c>
      <c r="S167" s="4">
        <v>1.09090909090909</v>
      </c>
      <c r="T167" s="4">
        <v>0.06567609391513</v>
      </c>
      <c r="U167" t="s">
        <v>116</v>
      </c>
      <c r="V167" s="4">
        <v>0</v>
      </c>
      <c r="W167">
        <v>3.5</v>
      </c>
    </row>
    <row r="168" spans="1:23">
      <c r="A168" t="s">
        <v>345</v>
      </c>
      <c r="B168" s="2">
        <v>45841</v>
      </c>
      <c r="C168" t="s">
        <v>39</v>
      </c>
      <c r="D168" t="s">
        <v>69</v>
      </c>
      <c r="E168" t="s">
        <v>29</v>
      </c>
      <c r="F168" t="s">
        <v>183</v>
      </c>
      <c r="G168" t="s">
        <v>164</v>
      </c>
      <c r="H168" t="s">
        <v>4</v>
      </c>
      <c r="I168" t="s">
        <v>184</v>
      </c>
      <c r="J168">
        <v>14</v>
      </c>
      <c r="K168" s="3">
        <v>13520</v>
      </c>
      <c r="L168" s="3">
        <v>189280</v>
      </c>
      <c r="M168" s="3">
        <v>115500</v>
      </c>
      <c r="N168" s="3">
        <v>73780</v>
      </c>
      <c r="O168" s="4">
        <v>0.389792899408284</v>
      </c>
      <c r="P168" t="s">
        <v>101</v>
      </c>
      <c r="Q168" t="s">
        <v>104</v>
      </c>
      <c r="R168" s="3">
        <v>172100</v>
      </c>
      <c r="S168" s="4">
        <v>1.09982568274259</v>
      </c>
      <c r="T168" s="4">
        <v>0.184312465033105</v>
      </c>
      <c r="U168" t="s">
        <v>116</v>
      </c>
      <c r="V168" s="4">
        <v>0.03</v>
      </c>
      <c r="W168">
        <v>3.5</v>
      </c>
    </row>
    <row r="169" spans="1:23">
      <c r="A169" t="s">
        <v>346</v>
      </c>
      <c r="B169" s="2">
        <v>45901</v>
      </c>
      <c r="C169" t="s">
        <v>41</v>
      </c>
      <c r="D169" t="s">
        <v>69</v>
      </c>
      <c r="E169" t="s">
        <v>24</v>
      </c>
      <c r="F169" t="s">
        <v>179</v>
      </c>
      <c r="G169" t="s">
        <v>180</v>
      </c>
      <c r="H169" t="s">
        <v>25</v>
      </c>
      <c r="I169" t="s">
        <v>152</v>
      </c>
      <c r="J169">
        <v>6</v>
      </c>
      <c r="K169" s="3">
        <v>25910</v>
      </c>
      <c r="L169" s="3">
        <v>155460</v>
      </c>
      <c r="M169" s="3">
        <v>110400</v>
      </c>
      <c r="N169" s="3">
        <v>45060</v>
      </c>
      <c r="O169" s="4">
        <v>0.28984947896565</v>
      </c>
      <c r="P169" t="s">
        <v>101</v>
      </c>
      <c r="Q169" t="s">
        <v>104</v>
      </c>
      <c r="R169" s="3">
        <v>164400</v>
      </c>
      <c r="S169" s="4">
        <v>0.945620437956204</v>
      </c>
      <c r="T169" s="4">
        <v>0.0540610285365332</v>
      </c>
      <c r="U169" t="s">
        <v>116</v>
      </c>
      <c r="V169" s="4">
        <v>0</v>
      </c>
      <c r="W169">
        <v>3.9</v>
      </c>
    </row>
    <row r="170" spans="1:23">
      <c r="A170" t="s">
        <v>347</v>
      </c>
      <c r="B170" s="2">
        <v>45825</v>
      </c>
      <c r="C170" t="s">
        <v>38</v>
      </c>
      <c r="D170" t="s">
        <v>150</v>
      </c>
      <c r="E170" t="s">
        <v>28</v>
      </c>
      <c r="F170" t="s">
        <v>167</v>
      </c>
      <c r="G170" t="s">
        <v>168</v>
      </c>
      <c r="H170" t="s">
        <v>27</v>
      </c>
      <c r="I170" t="s">
        <v>162</v>
      </c>
      <c r="J170">
        <v>4</v>
      </c>
      <c r="K170" s="3">
        <v>19270</v>
      </c>
      <c r="L170" s="3">
        <v>77080</v>
      </c>
      <c r="M170" s="3">
        <v>50400</v>
      </c>
      <c r="N170" s="3">
        <v>26680</v>
      </c>
      <c r="O170" s="4">
        <v>0.346133886870784</v>
      </c>
      <c r="P170" t="s">
        <v>101</v>
      </c>
      <c r="Q170" t="s">
        <v>104</v>
      </c>
      <c r="R170" s="3">
        <v>85300</v>
      </c>
      <c r="S170" s="4">
        <v>0.903634232121923</v>
      </c>
      <c r="T170" s="4">
        <v>0.118227351849884</v>
      </c>
      <c r="U170" t="s">
        <v>116</v>
      </c>
      <c r="V170" s="4">
        <v>0</v>
      </c>
      <c r="W170">
        <v>4.2</v>
      </c>
    </row>
    <row r="171" spans="1:23">
      <c r="A171" t="s">
        <v>348</v>
      </c>
      <c r="B171" s="2">
        <v>45873</v>
      </c>
      <c r="C171" t="s">
        <v>40</v>
      </c>
      <c r="D171" t="s">
        <v>69</v>
      </c>
      <c r="E171" t="s">
        <v>29</v>
      </c>
      <c r="F171" t="s">
        <v>183</v>
      </c>
      <c r="G171" t="s">
        <v>164</v>
      </c>
      <c r="H171" t="s">
        <v>30</v>
      </c>
      <c r="I171" t="s">
        <v>169</v>
      </c>
      <c r="J171">
        <v>2</v>
      </c>
      <c r="K171" s="3">
        <v>4080</v>
      </c>
      <c r="L171" s="3">
        <v>8160</v>
      </c>
      <c r="M171" s="3">
        <v>3520</v>
      </c>
      <c r="N171" s="3">
        <v>4640</v>
      </c>
      <c r="O171" s="4">
        <v>0.568627450980392</v>
      </c>
      <c r="P171" t="s">
        <v>165</v>
      </c>
      <c r="Q171" t="s">
        <v>153</v>
      </c>
      <c r="R171" s="3">
        <v>7600</v>
      </c>
      <c r="S171" s="4">
        <v>1.07368421052632</v>
      </c>
      <c r="T171" s="4">
        <v>0.19131268174272</v>
      </c>
      <c r="U171" t="s">
        <v>116</v>
      </c>
      <c r="V171" s="4">
        <v>0</v>
      </c>
      <c r="W171">
        <v>4.9</v>
      </c>
    </row>
    <row r="172" spans="1:23">
      <c r="A172" t="s">
        <v>349</v>
      </c>
      <c r="B172" s="2">
        <v>45803</v>
      </c>
      <c r="C172" t="s">
        <v>37</v>
      </c>
      <c r="D172" t="s">
        <v>150</v>
      </c>
      <c r="E172" t="s">
        <v>24</v>
      </c>
      <c r="F172" t="s">
        <v>179</v>
      </c>
      <c r="G172" t="s">
        <v>180</v>
      </c>
      <c r="H172" t="s">
        <v>30</v>
      </c>
      <c r="I172" t="s">
        <v>169</v>
      </c>
      <c r="J172">
        <v>5</v>
      </c>
      <c r="K172" s="3">
        <v>3600</v>
      </c>
      <c r="L172" s="3">
        <v>18000</v>
      </c>
      <c r="M172" s="3">
        <v>8800</v>
      </c>
      <c r="N172" s="3">
        <v>9200</v>
      </c>
      <c r="O172" s="4">
        <v>0.511111111111111</v>
      </c>
      <c r="P172" t="s">
        <v>165</v>
      </c>
      <c r="Q172" t="s">
        <v>104</v>
      </c>
      <c r="R172" s="3">
        <v>19800</v>
      </c>
      <c r="S172" s="4">
        <v>0.909090909090909</v>
      </c>
      <c r="T172" s="4">
        <v>-0.00889417354012627</v>
      </c>
      <c r="U172" t="s">
        <v>116</v>
      </c>
      <c r="V172" s="4">
        <v>0.08</v>
      </c>
      <c r="W172">
        <v>4.2</v>
      </c>
    </row>
    <row r="173" spans="1:23">
      <c r="A173" t="s">
        <v>350</v>
      </c>
      <c r="B173" s="2">
        <v>45984</v>
      </c>
      <c r="C173" t="s">
        <v>43</v>
      </c>
      <c r="D173" t="s">
        <v>145</v>
      </c>
      <c r="E173" t="s">
        <v>24</v>
      </c>
      <c r="F173" t="s">
        <v>160</v>
      </c>
      <c r="G173" t="s">
        <v>161</v>
      </c>
      <c r="H173" t="s">
        <v>4</v>
      </c>
      <c r="I173" t="s">
        <v>172</v>
      </c>
      <c r="J173">
        <v>12</v>
      </c>
      <c r="K173" s="3">
        <v>11190</v>
      </c>
      <c r="L173" s="3">
        <v>134280</v>
      </c>
      <c r="M173" s="3">
        <v>85200</v>
      </c>
      <c r="N173" s="3">
        <v>49080</v>
      </c>
      <c r="O173" s="4">
        <v>0.36550491510277</v>
      </c>
      <c r="P173" t="s">
        <v>101</v>
      </c>
      <c r="Q173" t="s">
        <v>153</v>
      </c>
      <c r="R173" s="3">
        <v>123500</v>
      </c>
      <c r="S173" s="4">
        <v>1.08728744939271</v>
      </c>
      <c r="T173" s="4">
        <v>0.0579783977653449</v>
      </c>
      <c r="U173" t="s">
        <v>116</v>
      </c>
      <c r="V173" s="4">
        <v>0</v>
      </c>
      <c r="W173">
        <v>4.4</v>
      </c>
    </row>
    <row r="174" spans="1:23">
      <c r="A174" t="s">
        <v>351</v>
      </c>
      <c r="B174" s="2">
        <v>45941</v>
      </c>
      <c r="C174" t="s">
        <v>42</v>
      </c>
      <c r="D174" t="s">
        <v>145</v>
      </c>
      <c r="E174" t="s">
        <v>24</v>
      </c>
      <c r="F174" t="s">
        <v>196</v>
      </c>
      <c r="G174" t="s">
        <v>161</v>
      </c>
      <c r="H174" t="s">
        <v>25</v>
      </c>
      <c r="I174" t="s">
        <v>218</v>
      </c>
      <c r="J174">
        <v>1</v>
      </c>
      <c r="K174" s="3">
        <v>31060</v>
      </c>
      <c r="L174" s="3">
        <v>31060</v>
      </c>
      <c r="M174" s="3">
        <v>22800</v>
      </c>
      <c r="N174" s="3">
        <v>8260</v>
      </c>
      <c r="O174" s="4">
        <v>0.265936896329684</v>
      </c>
      <c r="P174" t="s">
        <v>101</v>
      </c>
      <c r="Q174" t="s">
        <v>104</v>
      </c>
      <c r="R174" s="3">
        <v>32200</v>
      </c>
      <c r="S174" s="4">
        <v>0.964596273291925</v>
      </c>
      <c r="T174" s="4">
        <v>0.113625926908011</v>
      </c>
      <c r="U174" t="s">
        <v>116</v>
      </c>
      <c r="V174" s="4">
        <v>0</v>
      </c>
      <c r="W174">
        <v>4</v>
      </c>
    </row>
    <row r="175" spans="1:23">
      <c r="A175" t="s">
        <v>352</v>
      </c>
      <c r="B175" s="2">
        <v>45810</v>
      </c>
      <c r="C175" t="s">
        <v>38</v>
      </c>
      <c r="D175" t="s">
        <v>150</v>
      </c>
      <c r="E175" t="s">
        <v>28</v>
      </c>
      <c r="F175" t="s">
        <v>177</v>
      </c>
      <c r="G175" t="s">
        <v>168</v>
      </c>
      <c r="H175" t="s">
        <v>4</v>
      </c>
      <c r="I175" t="s">
        <v>172</v>
      </c>
      <c r="J175">
        <v>14</v>
      </c>
      <c r="K175" s="3">
        <v>11010</v>
      </c>
      <c r="L175" s="3">
        <v>154140</v>
      </c>
      <c r="M175" s="3">
        <v>99400</v>
      </c>
      <c r="N175" s="3">
        <v>54740</v>
      </c>
      <c r="O175" s="4">
        <v>0.355131698455949</v>
      </c>
      <c r="P175" t="s">
        <v>101</v>
      </c>
      <c r="Q175" t="s">
        <v>153</v>
      </c>
      <c r="R175" s="3">
        <v>142900</v>
      </c>
      <c r="S175" s="4">
        <v>1.07865640307908</v>
      </c>
      <c r="T175" s="4">
        <v>0.0708865277404615</v>
      </c>
      <c r="U175" t="s">
        <v>116</v>
      </c>
      <c r="V175" s="4">
        <v>0.03</v>
      </c>
      <c r="W175">
        <v>5</v>
      </c>
    </row>
    <row r="176" spans="1:23">
      <c r="A176" t="s">
        <v>353</v>
      </c>
      <c r="B176" s="2">
        <v>45851</v>
      </c>
      <c r="C176" t="s">
        <v>39</v>
      </c>
      <c r="D176" t="s">
        <v>69</v>
      </c>
      <c r="E176" t="s">
        <v>26</v>
      </c>
      <c r="F176" t="s">
        <v>174</v>
      </c>
      <c r="G176" t="s">
        <v>147</v>
      </c>
      <c r="H176" t="s">
        <v>4</v>
      </c>
      <c r="I176" t="s">
        <v>189</v>
      </c>
      <c r="J176">
        <v>11</v>
      </c>
      <c r="K176" s="3">
        <v>15780</v>
      </c>
      <c r="L176" s="3">
        <v>173580</v>
      </c>
      <c r="M176" s="3">
        <v>114400</v>
      </c>
      <c r="N176" s="3">
        <v>59180</v>
      </c>
      <c r="O176" s="4">
        <v>0.340937896070976</v>
      </c>
      <c r="P176" t="s">
        <v>101</v>
      </c>
      <c r="Q176" t="s">
        <v>153</v>
      </c>
      <c r="R176" s="3">
        <v>187200</v>
      </c>
      <c r="S176" s="4">
        <v>0.92724358974359</v>
      </c>
      <c r="T176" s="4">
        <v>-0.064624920650535</v>
      </c>
      <c r="U176" t="s">
        <v>116</v>
      </c>
      <c r="V176" s="4">
        <v>0.03</v>
      </c>
      <c r="W176">
        <v>3.8</v>
      </c>
    </row>
    <row r="177" spans="1:23">
      <c r="A177" t="s">
        <v>354</v>
      </c>
      <c r="B177" s="2">
        <v>45994</v>
      </c>
      <c r="C177" t="s">
        <v>44</v>
      </c>
      <c r="D177" t="s">
        <v>145</v>
      </c>
      <c r="E177" t="s">
        <v>28</v>
      </c>
      <c r="F177" t="s">
        <v>177</v>
      </c>
      <c r="G177" t="s">
        <v>156</v>
      </c>
      <c r="H177" t="s">
        <v>30</v>
      </c>
      <c r="I177" t="s">
        <v>81</v>
      </c>
      <c r="J177">
        <v>2</v>
      </c>
      <c r="K177" s="3">
        <v>2080</v>
      </c>
      <c r="L177" s="3">
        <v>4160</v>
      </c>
      <c r="M177" s="3">
        <v>1860</v>
      </c>
      <c r="N177" s="3">
        <v>2300</v>
      </c>
      <c r="O177" s="4">
        <v>0.552884615384615</v>
      </c>
      <c r="P177" t="s">
        <v>101</v>
      </c>
      <c r="Q177" t="s">
        <v>104</v>
      </c>
      <c r="R177" s="3">
        <v>4900</v>
      </c>
      <c r="S177" s="4">
        <v>0.848979591836735</v>
      </c>
      <c r="T177" s="4">
        <v>0.117139929685709</v>
      </c>
      <c r="U177" t="s">
        <v>116</v>
      </c>
      <c r="V177" s="4">
        <v>0</v>
      </c>
      <c r="W177">
        <v>4.4</v>
      </c>
    </row>
    <row r="178" spans="1:23">
      <c r="A178" t="s">
        <v>355</v>
      </c>
      <c r="B178" s="2">
        <v>45961</v>
      </c>
      <c r="C178" t="s">
        <v>42</v>
      </c>
      <c r="D178" t="s">
        <v>145</v>
      </c>
      <c r="E178" t="s">
        <v>26</v>
      </c>
      <c r="F178" t="s">
        <v>171</v>
      </c>
      <c r="G178" t="s">
        <v>147</v>
      </c>
      <c r="H178" t="s">
        <v>27</v>
      </c>
      <c r="I178" t="s">
        <v>162</v>
      </c>
      <c r="J178">
        <v>11</v>
      </c>
      <c r="K178" s="3">
        <v>19190</v>
      </c>
      <c r="L178" s="3">
        <v>211090</v>
      </c>
      <c r="M178" s="3">
        <v>138600</v>
      </c>
      <c r="N178" s="3">
        <v>72490</v>
      </c>
      <c r="O178" s="4">
        <v>0.343408025013028</v>
      </c>
      <c r="P178" t="s">
        <v>101</v>
      </c>
      <c r="Q178" t="s">
        <v>104</v>
      </c>
      <c r="R178" s="3">
        <v>238400</v>
      </c>
      <c r="S178" s="4">
        <v>0.885444630872483</v>
      </c>
      <c r="T178" s="4">
        <v>0.058847260760418</v>
      </c>
      <c r="U178" t="s">
        <v>116</v>
      </c>
      <c r="V178" s="4">
        <v>0.05</v>
      </c>
      <c r="W178">
        <v>4.8</v>
      </c>
    </row>
    <row r="179" spans="1:23">
      <c r="A179" t="s">
        <v>356</v>
      </c>
      <c r="B179" s="2">
        <v>45771</v>
      </c>
      <c r="C179" t="s">
        <v>36</v>
      </c>
      <c r="D179" t="s">
        <v>150</v>
      </c>
      <c r="E179" t="s">
        <v>29</v>
      </c>
      <c r="F179" t="s">
        <v>183</v>
      </c>
      <c r="G179" t="s">
        <v>76</v>
      </c>
      <c r="H179" t="s">
        <v>30</v>
      </c>
      <c r="I179" t="s">
        <v>81</v>
      </c>
      <c r="J179">
        <v>1</v>
      </c>
      <c r="K179" s="3">
        <v>2050</v>
      </c>
      <c r="L179" s="3">
        <v>2050</v>
      </c>
      <c r="M179" s="3">
        <v>930</v>
      </c>
      <c r="N179" s="3">
        <v>1120</v>
      </c>
      <c r="O179" s="4">
        <v>0.546341463414634</v>
      </c>
      <c r="P179" t="s">
        <v>101</v>
      </c>
      <c r="Q179" t="s">
        <v>104</v>
      </c>
      <c r="R179" s="3">
        <v>2300</v>
      </c>
      <c r="S179" s="4">
        <v>0.891304347826087</v>
      </c>
      <c r="T179" s="4">
        <v>0.108210422684685</v>
      </c>
      <c r="U179" t="s">
        <v>116</v>
      </c>
      <c r="V179" s="4">
        <v>0</v>
      </c>
      <c r="W179">
        <v>4.9</v>
      </c>
    </row>
    <row r="180" spans="1:23">
      <c r="A180" t="s">
        <v>357</v>
      </c>
      <c r="B180" s="2">
        <v>45974</v>
      </c>
      <c r="C180" t="s">
        <v>43</v>
      </c>
      <c r="D180" t="s">
        <v>145</v>
      </c>
      <c r="E180" t="s">
        <v>28</v>
      </c>
      <c r="F180" t="s">
        <v>155</v>
      </c>
      <c r="G180" t="s">
        <v>156</v>
      </c>
      <c r="H180" t="s">
        <v>4</v>
      </c>
      <c r="I180" t="s">
        <v>172</v>
      </c>
      <c r="J180">
        <v>1</v>
      </c>
      <c r="K180" s="3">
        <v>10990</v>
      </c>
      <c r="L180" s="3">
        <v>10990</v>
      </c>
      <c r="M180" s="3">
        <v>7100</v>
      </c>
      <c r="N180" s="3">
        <v>3890</v>
      </c>
      <c r="O180" s="4">
        <v>0.353958143767061</v>
      </c>
      <c r="P180" t="s">
        <v>101</v>
      </c>
      <c r="Q180" t="s">
        <v>104</v>
      </c>
      <c r="R180" s="3">
        <v>10900</v>
      </c>
      <c r="S180" s="4">
        <v>1.00825688073394</v>
      </c>
      <c r="T180" s="4">
        <v>0.0942049368329221</v>
      </c>
      <c r="U180" t="s">
        <v>116</v>
      </c>
      <c r="V180" s="4">
        <v>0.05</v>
      </c>
      <c r="W180">
        <v>4.9</v>
      </c>
    </row>
    <row r="181" spans="1:23">
      <c r="A181" t="s">
        <v>358</v>
      </c>
      <c r="B181" s="2">
        <v>45875</v>
      </c>
      <c r="C181" t="s">
        <v>40</v>
      </c>
      <c r="D181" t="s">
        <v>69</v>
      </c>
      <c r="E181" t="s">
        <v>26</v>
      </c>
      <c r="F181" t="s">
        <v>174</v>
      </c>
      <c r="G181" t="s">
        <v>175</v>
      </c>
      <c r="H181" t="s">
        <v>27</v>
      </c>
      <c r="I181" t="s">
        <v>157</v>
      </c>
      <c r="J181">
        <v>7</v>
      </c>
      <c r="K181" s="3">
        <v>12120</v>
      </c>
      <c r="L181" s="3">
        <v>84840</v>
      </c>
      <c r="M181" s="3">
        <v>53200</v>
      </c>
      <c r="N181" s="3">
        <v>31640</v>
      </c>
      <c r="O181" s="4">
        <v>0.372937293729373</v>
      </c>
      <c r="P181" t="s">
        <v>101</v>
      </c>
      <c r="Q181" t="s">
        <v>104</v>
      </c>
      <c r="R181" s="3">
        <v>77400</v>
      </c>
      <c r="S181" s="4">
        <v>1.09612403100775</v>
      </c>
      <c r="T181" s="4">
        <v>-0.0790194260179766</v>
      </c>
      <c r="U181" t="s">
        <v>116</v>
      </c>
      <c r="V181" s="4">
        <v>0.03</v>
      </c>
      <c r="W181">
        <v>3.8</v>
      </c>
    </row>
    <row r="182" spans="1:23">
      <c r="A182" t="s">
        <v>359</v>
      </c>
      <c r="B182" s="2">
        <v>45771</v>
      </c>
      <c r="C182" t="s">
        <v>36</v>
      </c>
      <c r="D182" t="s">
        <v>150</v>
      </c>
      <c r="E182" t="s">
        <v>24</v>
      </c>
      <c r="F182" t="s">
        <v>179</v>
      </c>
      <c r="G182" t="s">
        <v>161</v>
      </c>
      <c r="H182" t="s">
        <v>25</v>
      </c>
      <c r="I182" t="s">
        <v>207</v>
      </c>
      <c r="J182">
        <v>15</v>
      </c>
      <c r="K182" s="3">
        <v>68810</v>
      </c>
      <c r="L182" s="3">
        <v>1032150</v>
      </c>
      <c r="M182" s="3">
        <v>787500</v>
      </c>
      <c r="N182" s="3">
        <v>244650</v>
      </c>
      <c r="O182" s="4">
        <v>0.237029501525941</v>
      </c>
      <c r="P182" t="s">
        <v>101</v>
      </c>
      <c r="Q182" t="s">
        <v>104</v>
      </c>
      <c r="R182" s="3">
        <v>1128900</v>
      </c>
      <c r="S182" s="4">
        <v>0.914297103374967</v>
      </c>
      <c r="T182" s="4">
        <v>0.196611456410886</v>
      </c>
      <c r="U182" t="s">
        <v>116</v>
      </c>
      <c r="V182" s="4">
        <v>0.03</v>
      </c>
      <c r="W182">
        <v>4</v>
      </c>
    </row>
    <row r="183" spans="1:23">
      <c r="A183" t="s">
        <v>360</v>
      </c>
      <c r="B183" s="2">
        <v>45991</v>
      </c>
      <c r="C183" t="s">
        <v>43</v>
      </c>
      <c r="D183" t="s">
        <v>145</v>
      </c>
      <c r="E183" t="s">
        <v>26</v>
      </c>
      <c r="F183" t="s">
        <v>171</v>
      </c>
      <c r="G183" t="s">
        <v>175</v>
      </c>
      <c r="H183" t="s">
        <v>4</v>
      </c>
      <c r="I183" t="s">
        <v>189</v>
      </c>
      <c r="J183">
        <v>9</v>
      </c>
      <c r="K183" s="3">
        <v>16550</v>
      </c>
      <c r="L183" s="3">
        <v>148950</v>
      </c>
      <c r="M183" s="3">
        <v>93600</v>
      </c>
      <c r="N183" s="3">
        <v>55350</v>
      </c>
      <c r="O183" s="4">
        <v>0.371601208459215</v>
      </c>
      <c r="P183" t="s">
        <v>101</v>
      </c>
      <c r="Q183" t="s">
        <v>104</v>
      </c>
      <c r="R183" s="3">
        <v>138200</v>
      </c>
      <c r="S183" s="4">
        <v>1.07778581765557</v>
      </c>
      <c r="T183" s="4">
        <v>0.126255898405063</v>
      </c>
      <c r="U183" t="s">
        <v>116</v>
      </c>
      <c r="V183" s="4">
        <v>0</v>
      </c>
      <c r="W183">
        <v>4.7</v>
      </c>
    </row>
    <row r="184" spans="1:23">
      <c r="A184" t="s">
        <v>361</v>
      </c>
      <c r="B184" s="2">
        <v>45862</v>
      </c>
      <c r="C184" t="s">
        <v>39</v>
      </c>
      <c r="D184" t="s">
        <v>69</v>
      </c>
      <c r="E184" t="s">
        <v>24</v>
      </c>
      <c r="F184" t="s">
        <v>160</v>
      </c>
      <c r="G184" t="s">
        <v>161</v>
      </c>
      <c r="H184" t="s">
        <v>27</v>
      </c>
      <c r="I184" t="s">
        <v>162</v>
      </c>
      <c r="J184">
        <v>14</v>
      </c>
      <c r="K184" s="3">
        <v>19060</v>
      </c>
      <c r="L184" s="3">
        <v>266840</v>
      </c>
      <c r="M184" s="3">
        <v>176400</v>
      </c>
      <c r="N184" s="3">
        <v>90440</v>
      </c>
      <c r="O184" s="4">
        <v>0.338929695697796</v>
      </c>
      <c r="P184" t="s">
        <v>101</v>
      </c>
      <c r="Q184" t="s">
        <v>153</v>
      </c>
      <c r="R184" s="3">
        <v>304500</v>
      </c>
      <c r="S184" s="4">
        <v>0.87632183908046</v>
      </c>
      <c r="T184" s="4">
        <v>0.0679302579106984</v>
      </c>
      <c r="U184" t="s">
        <v>116</v>
      </c>
      <c r="V184" s="4">
        <v>0</v>
      </c>
      <c r="W184">
        <v>3.4</v>
      </c>
    </row>
    <row r="185" spans="1:23">
      <c r="A185" t="s">
        <v>362</v>
      </c>
      <c r="B185" s="2">
        <v>45733</v>
      </c>
      <c r="C185" t="s">
        <v>35</v>
      </c>
      <c r="D185" t="s">
        <v>159</v>
      </c>
      <c r="E185" t="s">
        <v>28</v>
      </c>
      <c r="F185" t="s">
        <v>155</v>
      </c>
      <c r="G185" t="s">
        <v>168</v>
      </c>
      <c r="H185" t="s">
        <v>27</v>
      </c>
      <c r="I185" t="s">
        <v>157</v>
      </c>
      <c r="J185">
        <v>10</v>
      </c>
      <c r="K185" s="3">
        <v>12070</v>
      </c>
      <c r="L185" s="3">
        <v>120700</v>
      </c>
      <c r="M185" s="3">
        <v>76000</v>
      </c>
      <c r="N185" s="3">
        <v>44700</v>
      </c>
      <c r="O185" s="4">
        <v>0.370339685169843</v>
      </c>
      <c r="P185" t="s">
        <v>101</v>
      </c>
      <c r="Q185" t="s">
        <v>104</v>
      </c>
      <c r="R185" s="3">
        <v>140900</v>
      </c>
      <c r="S185" s="4">
        <v>0.856635911994322</v>
      </c>
      <c r="T185" s="4">
        <v>-0.00946348229240557</v>
      </c>
      <c r="U185" t="s">
        <v>116</v>
      </c>
      <c r="V185" s="4">
        <v>0.03</v>
      </c>
      <c r="W185">
        <v>3.5</v>
      </c>
    </row>
    <row r="186" spans="1:23">
      <c r="A186" t="s">
        <v>363</v>
      </c>
      <c r="B186" s="2">
        <v>45831</v>
      </c>
      <c r="C186" t="s">
        <v>38</v>
      </c>
      <c r="D186" t="s">
        <v>150</v>
      </c>
      <c r="E186" t="s">
        <v>29</v>
      </c>
      <c r="F186" t="s">
        <v>73</v>
      </c>
      <c r="G186" t="s">
        <v>76</v>
      </c>
      <c r="H186" t="s">
        <v>27</v>
      </c>
      <c r="I186" t="s">
        <v>157</v>
      </c>
      <c r="J186">
        <v>5</v>
      </c>
      <c r="K186" s="3">
        <v>12170</v>
      </c>
      <c r="L186" s="3">
        <v>60850</v>
      </c>
      <c r="M186" s="3">
        <v>38000</v>
      </c>
      <c r="N186" s="3">
        <v>22850</v>
      </c>
      <c r="O186" s="4">
        <v>0.375513557929334</v>
      </c>
      <c r="P186" t="s">
        <v>101</v>
      </c>
      <c r="Q186" t="s">
        <v>104</v>
      </c>
      <c r="R186" s="3">
        <v>58300</v>
      </c>
      <c r="S186" s="4">
        <v>1.04373927958834</v>
      </c>
      <c r="T186" s="4">
        <v>0.125344621390737</v>
      </c>
      <c r="U186" t="s">
        <v>116</v>
      </c>
      <c r="V186" s="4">
        <v>0.03</v>
      </c>
      <c r="W186">
        <v>4.8</v>
      </c>
    </row>
    <row r="187" spans="1:23">
      <c r="A187" t="s">
        <v>364</v>
      </c>
      <c r="B187" s="2">
        <v>45734</v>
      </c>
      <c r="C187" t="s">
        <v>35</v>
      </c>
      <c r="D187" t="s">
        <v>159</v>
      </c>
      <c r="E187" t="s">
        <v>29</v>
      </c>
      <c r="F187" t="s">
        <v>183</v>
      </c>
      <c r="G187" t="s">
        <v>164</v>
      </c>
      <c r="H187" t="s">
        <v>4</v>
      </c>
      <c r="I187" t="s">
        <v>184</v>
      </c>
      <c r="J187">
        <v>13</v>
      </c>
      <c r="K187" s="3">
        <v>13040</v>
      </c>
      <c r="L187" s="3">
        <v>169520</v>
      </c>
      <c r="M187" s="3">
        <v>107250</v>
      </c>
      <c r="N187" s="3">
        <v>62270</v>
      </c>
      <c r="O187" s="4">
        <v>0.367331288343558</v>
      </c>
      <c r="P187" t="s">
        <v>165</v>
      </c>
      <c r="Q187" t="s">
        <v>104</v>
      </c>
      <c r="R187" s="3">
        <v>184300</v>
      </c>
      <c r="S187" s="4">
        <v>0.919804666304938</v>
      </c>
      <c r="T187" s="4">
        <v>-0.0694824826488569</v>
      </c>
      <c r="U187" t="s">
        <v>116</v>
      </c>
      <c r="V187" s="4">
        <v>0.05</v>
      </c>
      <c r="W187">
        <v>3.4</v>
      </c>
    </row>
    <row r="188" spans="1:23">
      <c r="A188" t="s">
        <v>365</v>
      </c>
      <c r="B188" s="2">
        <v>45744</v>
      </c>
      <c r="C188" t="s">
        <v>35</v>
      </c>
      <c r="D188" t="s">
        <v>159</v>
      </c>
      <c r="E188" t="s">
        <v>28</v>
      </c>
      <c r="F188" t="s">
        <v>177</v>
      </c>
      <c r="G188" t="s">
        <v>168</v>
      </c>
      <c r="H188" t="s">
        <v>4</v>
      </c>
      <c r="I188" t="s">
        <v>184</v>
      </c>
      <c r="J188">
        <v>6</v>
      </c>
      <c r="K188" s="3">
        <v>12890</v>
      </c>
      <c r="L188" s="3">
        <v>77340</v>
      </c>
      <c r="M188" s="3">
        <v>49500</v>
      </c>
      <c r="N188" s="3">
        <v>27840</v>
      </c>
      <c r="O188" s="4">
        <v>0.359968968192397</v>
      </c>
      <c r="P188" t="s">
        <v>165</v>
      </c>
      <c r="Q188" t="s">
        <v>104</v>
      </c>
      <c r="R188" s="3">
        <v>71100</v>
      </c>
      <c r="S188" s="4">
        <v>1.08776371308017</v>
      </c>
      <c r="T188" s="4">
        <v>0.17058737277924</v>
      </c>
      <c r="U188" t="s">
        <v>116</v>
      </c>
      <c r="V188" s="4">
        <v>0.08</v>
      </c>
      <c r="W188">
        <v>4.2</v>
      </c>
    </row>
    <row r="189" spans="1:23">
      <c r="A189" t="s">
        <v>366</v>
      </c>
      <c r="B189" s="2">
        <v>45811</v>
      </c>
      <c r="C189" t="s">
        <v>38</v>
      </c>
      <c r="D189" t="s">
        <v>150</v>
      </c>
      <c r="E189" t="s">
        <v>28</v>
      </c>
      <c r="F189" t="s">
        <v>177</v>
      </c>
      <c r="G189" t="s">
        <v>156</v>
      </c>
      <c r="H189" t="s">
        <v>30</v>
      </c>
      <c r="I189" t="s">
        <v>216</v>
      </c>
      <c r="J189">
        <v>7</v>
      </c>
      <c r="K189" s="3">
        <v>5240</v>
      </c>
      <c r="L189" s="3">
        <v>36680</v>
      </c>
      <c r="M189" s="3">
        <v>20440</v>
      </c>
      <c r="N189" s="3">
        <v>16240</v>
      </c>
      <c r="O189" s="4">
        <v>0.442748091603053</v>
      </c>
      <c r="P189" t="s">
        <v>101</v>
      </c>
      <c r="Q189" t="s">
        <v>153</v>
      </c>
      <c r="R189" s="3">
        <v>35800</v>
      </c>
      <c r="S189" s="4">
        <v>1.02458100558659</v>
      </c>
      <c r="T189" s="4">
        <v>0.0203156206042743</v>
      </c>
      <c r="U189" t="s">
        <v>116</v>
      </c>
      <c r="V189" s="4">
        <v>0.08</v>
      </c>
      <c r="W189">
        <v>3.4</v>
      </c>
    </row>
    <row r="190" spans="1:23">
      <c r="A190" t="s">
        <v>367</v>
      </c>
      <c r="B190" s="2">
        <v>45898</v>
      </c>
      <c r="C190" t="s">
        <v>40</v>
      </c>
      <c r="D190" t="s">
        <v>69</v>
      </c>
      <c r="E190" t="s">
        <v>28</v>
      </c>
      <c r="F190" t="s">
        <v>167</v>
      </c>
      <c r="G190" t="s">
        <v>156</v>
      </c>
      <c r="H190" t="s">
        <v>30</v>
      </c>
      <c r="I190" t="s">
        <v>216</v>
      </c>
      <c r="J190">
        <v>9</v>
      </c>
      <c r="K190" s="3">
        <v>5350</v>
      </c>
      <c r="L190" s="3">
        <v>48150</v>
      </c>
      <c r="M190" s="3">
        <v>26280</v>
      </c>
      <c r="N190" s="3">
        <v>21870</v>
      </c>
      <c r="O190" s="4">
        <v>0.454205607476636</v>
      </c>
      <c r="P190" t="s">
        <v>101</v>
      </c>
      <c r="Q190" t="s">
        <v>153</v>
      </c>
      <c r="R190" s="3">
        <v>48100</v>
      </c>
      <c r="S190" s="4">
        <v>1.0010395010395</v>
      </c>
      <c r="T190" s="4">
        <v>0.149864601402053</v>
      </c>
      <c r="U190" t="s">
        <v>116</v>
      </c>
      <c r="V190" s="4">
        <v>0.08</v>
      </c>
      <c r="W190">
        <v>4.8</v>
      </c>
    </row>
    <row r="191" spans="1:23">
      <c r="A191" t="s">
        <v>368</v>
      </c>
      <c r="B191" s="2">
        <v>45823</v>
      </c>
      <c r="C191" t="s">
        <v>38</v>
      </c>
      <c r="D191" t="s">
        <v>150</v>
      </c>
      <c r="E191" t="s">
        <v>29</v>
      </c>
      <c r="F191" t="s">
        <v>151</v>
      </c>
      <c r="G191" t="s">
        <v>164</v>
      </c>
      <c r="H191" t="s">
        <v>25</v>
      </c>
      <c r="I191" t="s">
        <v>152</v>
      </c>
      <c r="J191">
        <v>6</v>
      </c>
      <c r="K191" s="3">
        <v>25880</v>
      </c>
      <c r="L191" s="3">
        <v>155280</v>
      </c>
      <c r="M191" s="3">
        <v>110400</v>
      </c>
      <c r="N191" s="3">
        <v>44880</v>
      </c>
      <c r="O191" s="4">
        <v>0.28902627511592</v>
      </c>
      <c r="P191" t="s">
        <v>101</v>
      </c>
      <c r="Q191" t="s">
        <v>104</v>
      </c>
      <c r="R191" s="3">
        <v>159000</v>
      </c>
      <c r="S191" s="4">
        <v>0.976603773584906</v>
      </c>
      <c r="T191" s="4">
        <v>0.106634361621025</v>
      </c>
      <c r="U191" t="s">
        <v>211</v>
      </c>
      <c r="V191" s="4">
        <v>0</v>
      </c>
      <c r="W191">
        <v>4.6</v>
      </c>
    </row>
    <row r="192" spans="1:23">
      <c r="A192" t="s">
        <v>369</v>
      </c>
      <c r="B192" s="2">
        <v>45755</v>
      </c>
      <c r="C192" t="s">
        <v>36</v>
      </c>
      <c r="D192" t="s">
        <v>150</v>
      </c>
      <c r="E192" t="s">
        <v>26</v>
      </c>
      <c r="F192" t="s">
        <v>174</v>
      </c>
      <c r="G192" t="s">
        <v>175</v>
      </c>
      <c r="H192" t="s">
        <v>4</v>
      </c>
      <c r="I192" t="s">
        <v>172</v>
      </c>
      <c r="J192">
        <v>13</v>
      </c>
      <c r="K192" s="3">
        <v>10950</v>
      </c>
      <c r="L192" s="3">
        <v>142350</v>
      </c>
      <c r="M192" s="3">
        <v>92300</v>
      </c>
      <c r="N192" s="3">
        <v>50050</v>
      </c>
      <c r="O192" s="4">
        <v>0.351598173515982</v>
      </c>
      <c r="P192" t="s">
        <v>101</v>
      </c>
      <c r="Q192" t="s">
        <v>153</v>
      </c>
      <c r="R192" s="3">
        <v>157800</v>
      </c>
      <c r="S192" s="4">
        <v>0.902091254752852</v>
      </c>
      <c r="T192" s="4">
        <v>0.165148783922003</v>
      </c>
      <c r="U192" t="s">
        <v>211</v>
      </c>
      <c r="V192" s="4">
        <v>0.08</v>
      </c>
      <c r="W192">
        <v>3.9</v>
      </c>
    </row>
    <row r="193" spans="1:23">
      <c r="A193" t="s">
        <v>370</v>
      </c>
      <c r="B193" s="2">
        <v>45870</v>
      </c>
      <c r="C193" t="s">
        <v>40</v>
      </c>
      <c r="D193" t="s">
        <v>69</v>
      </c>
      <c r="E193" t="s">
        <v>29</v>
      </c>
      <c r="F193" t="s">
        <v>151</v>
      </c>
      <c r="G193" t="s">
        <v>164</v>
      </c>
      <c r="H193" t="s">
        <v>30</v>
      </c>
      <c r="I193" t="s">
        <v>169</v>
      </c>
      <c r="J193">
        <v>9</v>
      </c>
      <c r="K193" s="3">
        <v>3780</v>
      </c>
      <c r="L193" s="3">
        <v>34020</v>
      </c>
      <c r="M193" s="3">
        <v>15840</v>
      </c>
      <c r="N193" s="3">
        <v>18180</v>
      </c>
      <c r="O193" s="4">
        <v>0.534391534391534</v>
      </c>
      <c r="P193" t="s">
        <v>101</v>
      </c>
      <c r="Q193" t="s">
        <v>153</v>
      </c>
      <c r="R193" s="3">
        <v>39000</v>
      </c>
      <c r="S193" s="4">
        <v>0.872307692307692</v>
      </c>
      <c r="T193" s="4">
        <v>0.0363610859848523</v>
      </c>
      <c r="U193" t="s">
        <v>116</v>
      </c>
      <c r="V193" s="4">
        <v>0.05</v>
      </c>
      <c r="W193">
        <v>4.8</v>
      </c>
    </row>
    <row r="194" spans="1:23">
      <c r="A194" t="s">
        <v>371</v>
      </c>
      <c r="B194" s="2">
        <v>46011</v>
      </c>
      <c r="C194" t="s">
        <v>44</v>
      </c>
      <c r="D194" t="s">
        <v>145</v>
      </c>
      <c r="E194" t="s">
        <v>28</v>
      </c>
      <c r="F194" t="s">
        <v>155</v>
      </c>
      <c r="G194" t="s">
        <v>156</v>
      </c>
      <c r="H194" t="s">
        <v>30</v>
      </c>
      <c r="I194" t="s">
        <v>216</v>
      </c>
      <c r="J194">
        <v>9</v>
      </c>
      <c r="K194" s="3">
        <v>5350</v>
      </c>
      <c r="L194" s="3">
        <v>48150</v>
      </c>
      <c r="M194" s="3">
        <v>26280</v>
      </c>
      <c r="N194" s="3">
        <v>21870</v>
      </c>
      <c r="O194" s="4">
        <v>0.454205607476636</v>
      </c>
      <c r="P194" t="s">
        <v>165</v>
      </c>
      <c r="Q194" t="s">
        <v>153</v>
      </c>
      <c r="R194" s="3">
        <v>45900</v>
      </c>
      <c r="S194" s="4">
        <v>1.04901960784314</v>
      </c>
      <c r="T194" s="4">
        <v>0.170333442639304</v>
      </c>
      <c r="U194" t="s">
        <v>116</v>
      </c>
      <c r="V194" s="4">
        <v>0.05</v>
      </c>
      <c r="W194">
        <v>4.6</v>
      </c>
    </row>
    <row r="195" spans="1:23">
      <c r="A195" t="s">
        <v>372</v>
      </c>
      <c r="B195" s="2">
        <v>45822</v>
      </c>
      <c r="C195" t="s">
        <v>38</v>
      </c>
      <c r="D195" t="s">
        <v>150</v>
      </c>
      <c r="E195" t="s">
        <v>26</v>
      </c>
      <c r="F195" t="s">
        <v>174</v>
      </c>
      <c r="G195" t="s">
        <v>147</v>
      </c>
      <c r="H195" t="s">
        <v>4</v>
      </c>
      <c r="I195" t="s">
        <v>184</v>
      </c>
      <c r="J195">
        <v>11</v>
      </c>
      <c r="K195" s="3">
        <v>13640</v>
      </c>
      <c r="L195" s="3">
        <v>150040</v>
      </c>
      <c r="M195" s="3">
        <v>90750</v>
      </c>
      <c r="N195" s="3">
        <v>59290</v>
      </c>
      <c r="O195" s="4">
        <v>0.395161290322581</v>
      </c>
      <c r="P195" t="s">
        <v>101</v>
      </c>
      <c r="Q195" t="s">
        <v>104</v>
      </c>
      <c r="R195" s="3">
        <v>148800</v>
      </c>
      <c r="S195" s="4">
        <v>1.00833333333333</v>
      </c>
      <c r="T195" s="4">
        <v>-0.0131543627285805</v>
      </c>
      <c r="U195" t="s">
        <v>116</v>
      </c>
      <c r="V195" s="4">
        <v>0.03</v>
      </c>
      <c r="W195">
        <v>4.1</v>
      </c>
    </row>
    <row r="196" spans="1:23">
      <c r="A196" t="s">
        <v>373</v>
      </c>
      <c r="B196" s="2">
        <v>45880</v>
      </c>
      <c r="C196" t="s">
        <v>40</v>
      </c>
      <c r="D196" t="s">
        <v>69</v>
      </c>
      <c r="E196" t="s">
        <v>29</v>
      </c>
      <c r="F196" t="s">
        <v>73</v>
      </c>
      <c r="G196" t="s">
        <v>164</v>
      </c>
      <c r="H196" t="s">
        <v>25</v>
      </c>
      <c r="I196" t="s">
        <v>152</v>
      </c>
      <c r="J196">
        <v>5</v>
      </c>
      <c r="K196" s="3">
        <v>26300</v>
      </c>
      <c r="L196" s="3">
        <v>131500</v>
      </c>
      <c r="M196" s="3">
        <v>92000</v>
      </c>
      <c r="N196" s="3">
        <v>39500</v>
      </c>
      <c r="O196" s="4">
        <v>0.300380228136882</v>
      </c>
      <c r="P196" t="s">
        <v>101</v>
      </c>
      <c r="Q196" t="s">
        <v>104</v>
      </c>
      <c r="R196" s="3">
        <v>126300</v>
      </c>
      <c r="S196" s="4">
        <v>1.04117181314331</v>
      </c>
      <c r="T196" s="4">
        <v>0.0337785214112525</v>
      </c>
      <c r="U196" t="s">
        <v>116</v>
      </c>
      <c r="V196" s="4">
        <v>0.03</v>
      </c>
      <c r="W196">
        <v>4</v>
      </c>
    </row>
    <row r="197" spans="1:23">
      <c r="A197" t="s">
        <v>374</v>
      </c>
      <c r="B197" s="2">
        <v>45701</v>
      </c>
      <c r="C197" t="s">
        <v>34</v>
      </c>
      <c r="D197" t="s">
        <v>159</v>
      </c>
      <c r="E197" t="s">
        <v>26</v>
      </c>
      <c r="F197" t="s">
        <v>171</v>
      </c>
      <c r="G197" t="s">
        <v>175</v>
      </c>
      <c r="H197" t="s">
        <v>4</v>
      </c>
      <c r="I197" t="s">
        <v>184</v>
      </c>
      <c r="J197">
        <v>9</v>
      </c>
      <c r="K197" s="3">
        <v>12870</v>
      </c>
      <c r="L197" s="3">
        <v>115830</v>
      </c>
      <c r="M197" s="3">
        <v>74250</v>
      </c>
      <c r="N197" s="3">
        <v>41580</v>
      </c>
      <c r="O197" s="4">
        <v>0.358974358974359</v>
      </c>
      <c r="P197" t="s">
        <v>101</v>
      </c>
      <c r="Q197" t="s">
        <v>153</v>
      </c>
      <c r="R197" s="3">
        <v>109300</v>
      </c>
      <c r="S197" s="4">
        <v>1.05974382433669</v>
      </c>
      <c r="T197" s="4">
        <v>0.0613961934969614</v>
      </c>
      <c r="U197" t="s">
        <v>116</v>
      </c>
      <c r="V197" s="4">
        <v>0.08</v>
      </c>
      <c r="W197">
        <v>4.9</v>
      </c>
    </row>
    <row r="198" spans="1:23">
      <c r="A198" t="s">
        <v>375</v>
      </c>
      <c r="B198" s="2">
        <v>45697</v>
      </c>
      <c r="C198" t="s">
        <v>34</v>
      </c>
      <c r="D198" t="s">
        <v>159</v>
      </c>
      <c r="E198" t="s">
        <v>29</v>
      </c>
      <c r="F198" t="s">
        <v>183</v>
      </c>
      <c r="G198" t="s">
        <v>164</v>
      </c>
      <c r="H198" t="s">
        <v>30</v>
      </c>
      <c r="I198" t="s">
        <v>216</v>
      </c>
      <c r="J198">
        <v>8</v>
      </c>
      <c r="K198" s="3">
        <v>5250</v>
      </c>
      <c r="L198" s="3">
        <v>42000</v>
      </c>
      <c r="M198" s="3">
        <v>23360</v>
      </c>
      <c r="N198" s="3">
        <v>18640</v>
      </c>
      <c r="O198" s="4">
        <v>0.443809523809524</v>
      </c>
      <c r="P198" t="s">
        <v>101</v>
      </c>
      <c r="Q198" t="s">
        <v>153</v>
      </c>
      <c r="R198" s="3">
        <v>44000</v>
      </c>
      <c r="S198" s="4">
        <v>0.954545454545455</v>
      </c>
      <c r="T198" s="4">
        <v>0.147645309778644</v>
      </c>
      <c r="U198" t="s">
        <v>193</v>
      </c>
      <c r="V198" s="4">
        <v>0.08</v>
      </c>
      <c r="W198">
        <v>4</v>
      </c>
    </row>
    <row r="199" spans="1:23">
      <c r="A199" t="s">
        <v>376</v>
      </c>
      <c r="B199" s="2">
        <v>45941</v>
      </c>
      <c r="C199" t="s">
        <v>42</v>
      </c>
      <c r="D199" t="s">
        <v>145</v>
      </c>
      <c r="E199" t="s">
        <v>29</v>
      </c>
      <c r="F199" t="s">
        <v>183</v>
      </c>
      <c r="G199" t="s">
        <v>76</v>
      </c>
      <c r="H199" t="s">
        <v>4</v>
      </c>
      <c r="I199" t="s">
        <v>172</v>
      </c>
      <c r="J199">
        <v>7</v>
      </c>
      <c r="K199" s="3">
        <v>11530</v>
      </c>
      <c r="L199" s="3">
        <v>80710</v>
      </c>
      <c r="M199" s="3">
        <v>49700</v>
      </c>
      <c r="N199" s="3">
        <v>31010</v>
      </c>
      <c r="O199" s="4">
        <v>0.384215091066782</v>
      </c>
      <c r="P199" t="s">
        <v>165</v>
      </c>
      <c r="Q199" t="s">
        <v>104</v>
      </c>
      <c r="R199" s="3">
        <v>88500</v>
      </c>
      <c r="S199" s="4">
        <v>0.911977401129944</v>
      </c>
      <c r="T199" s="4">
        <v>0.0441094205378869</v>
      </c>
      <c r="U199" t="s">
        <v>116</v>
      </c>
      <c r="V199" s="4">
        <v>0</v>
      </c>
      <c r="W199">
        <v>4.5</v>
      </c>
    </row>
    <row r="200" spans="1:23">
      <c r="A200" t="s">
        <v>377</v>
      </c>
      <c r="B200" s="2">
        <v>45822</v>
      </c>
      <c r="C200" t="s">
        <v>38</v>
      </c>
      <c r="D200" t="s">
        <v>150</v>
      </c>
      <c r="E200" t="s">
        <v>24</v>
      </c>
      <c r="F200" t="s">
        <v>160</v>
      </c>
      <c r="G200" t="s">
        <v>180</v>
      </c>
      <c r="H200" t="s">
        <v>25</v>
      </c>
      <c r="I200" t="s">
        <v>218</v>
      </c>
      <c r="J200">
        <v>4</v>
      </c>
      <c r="K200" s="3">
        <v>31480</v>
      </c>
      <c r="L200" s="3">
        <v>125920</v>
      </c>
      <c r="M200" s="3">
        <v>91200</v>
      </c>
      <c r="N200" s="3">
        <v>34720</v>
      </c>
      <c r="O200" s="4">
        <v>0.275730622617535</v>
      </c>
      <c r="P200" t="s">
        <v>101</v>
      </c>
      <c r="Q200" t="s">
        <v>153</v>
      </c>
      <c r="R200" s="3">
        <v>145700</v>
      </c>
      <c r="S200" s="4">
        <v>0.864241592312972</v>
      </c>
      <c r="T200" s="4">
        <v>-0.0249005226341457</v>
      </c>
      <c r="U200" t="s">
        <v>116</v>
      </c>
      <c r="V200" s="4">
        <v>0.03</v>
      </c>
      <c r="W200">
        <v>4.5</v>
      </c>
    </row>
    <row r="201" spans="1:23">
      <c r="A201" t="s">
        <v>378</v>
      </c>
      <c r="B201" s="2">
        <v>45867</v>
      </c>
      <c r="C201" t="s">
        <v>39</v>
      </c>
      <c r="D201" t="s">
        <v>69</v>
      </c>
      <c r="E201" t="s">
        <v>29</v>
      </c>
      <c r="F201" t="s">
        <v>183</v>
      </c>
      <c r="G201" t="s">
        <v>164</v>
      </c>
      <c r="H201" t="s">
        <v>30</v>
      </c>
      <c r="I201" t="s">
        <v>81</v>
      </c>
      <c r="J201">
        <v>14</v>
      </c>
      <c r="K201" s="3">
        <v>2200</v>
      </c>
      <c r="L201" s="3">
        <v>30800</v>
      </c>
      <c r="M201" s="3">
        <v>13020</v>
      </c>
      <c r="N201" s="3">
        <v>17780</v>
      </c>
      <c r="O201" s="4">
        <v>0.577272727272727</v>
      </c>
      <c r="P201" t="s">
        <v>101</v>
      </c>
      <c r="Q201" t="s">
        <v>153</v>
      </c>
      <c r="R201" s="3">
        <v>33300</v>
      </c>
      <c r="S201" s="4">
        <v>0.924924924924925</v>
      </c>
      <c r="T201" s="4">
        <v>-0.0336259525566504</v>
      </c>
      <c r="U201" t="s">
        <v>116</v>
      </c>
      <c r="V201" s="4">
        <v>0</v>
      </c>
      <c r="W201">
        <v>4.1</v>
      </c>
    </row>
    <row r="202" spans="1:23">
      <c r="A202" t="s">
        <v>379</v>
      </c>
      <c r="B202" s="2">
        <v>45826</v>
      </c>
      <c r="C202" t="s">
        <v>38</v>
      </c>
      <c r="D202" t="s">
        <v>150</v>
      </c>
      <c r="E202" t="s">
        <v>28</v>
      </c>
      <c r="F202" t="s">
        <v>155</v>
      </c>
      <c r="G202" t="s">
        <v>156</v>
      </c>
      <c r="H202" t="s">
        <v>30</v>
      </c>
      <c r="I202" t="s">
        <v>169</v>
      </c>
      <c r="J202">
        <v>16</v>
      </c>
      <c r="K202" s="3">
        <v>3640</v>
      </c>
      <c r="L202" s="3">
        <v>58240</v>
      </c>
      <c r="M202" s="3">
        <v>28160</v>
      </c>
      <c r="N202" s="3">
        <v>30080</v>
      </c>
      <c r="O202" s="4">
        <v>0.516483516483517</v>
      </c>
      <c r="P202" t="s">
        <v>101</v>
      </c>
      <c r="Q202" t="s">
        <v>104</v>
      </c>
      <c r="R202" s="3">
        <v>55300</v>
      </c>
      <c r="S202" s="4">
        <v>1.05316455696203</v>
      </c>
      <c r="T202" s="4">
        <v>0.0778652158449437</v>
      </c>
      <c r="U202" t="s">
        <v>116</v>
      </c>
      <c r="V202" s="4">
        <v>0.05</v>
      </c>
      <c r="W202">
        <v>3.5</v>
      </c>
    </row>
    <row r="203" spans="1:23">
      <c r="A203" t="s">
        <v>380</v>
      </c>
      <c r="B203" s="2">
        <v>45915</v>
      </c>
      <c r="C203" t="s">
        <v>41</v>
      </c>
      <c r="D203" t="s">
        <v>69</v>
      </c>
      <c r="E203" t="s">
        <v>29</v>
      </c>
      <c r="F203" t="s">
        <v>151</v>
      </c>
      <c r="G203" t="s">
        <v>164</v>
      </c>
      <c r="H203" t="s">
        <v>30</v>
      </c>
      <c r="I203" t="s">
        <v>169</v>
      </c>
      <c r="J203">
        <v>11</v>
      </c>
      <c r="K203" s="3">
        <v>3840</v>
      </c>
      <c r="L203" s="3">
        <v>42240</v>
      </c>
      <c r="M203" s="3">
        <v>19360</v>
      </c>
      <c r="N203" s="3">
        <v>22880</v>
      </c>
      <c r="O203" s="4">
        <v>0.541666666666667</v>
      </c>
      <c r="P203" t="s">
        <v>165</v>
      </c>
      <c r="Q203" t="s">
        <v>153</v>
      </c>
      <c r="R203" s="3">
        <v>42400</v>
      </c>
      <c r="S203" s="4">
        <v>0.99622641509434</v>
      </c>
      <c r="T203" s="4">
        <v>0.130153080506457</v>
      </c>
      <c r="U203" t="s">
        <v>116</v>
      </c>
      <c r="V203" s="4">
        <v>0.05</v>
      </c>
      <c r="W203">
        <v>4.2</v>
      </c>
    </row>
    <row r="204" spans="1:23">
      <c r="A204" t="s">
        <v>381</v>
      </c>
      <c r="B204" s="2">
        <v>45776</v>
      </c>
      <c r="C204" t="s">
        <v>36</v>
      </c>
      <c r="D204" t="s">
        <v>150</v>
      </c>
      <c r="E204" t="s">
        <v>29</v>
      </c>
      <c r="F204" t="s">
        <v>151</v>
      </c>
      <c r="G204" t="s">
        <v>76</v>
      </c>
      <c r="H204" t="s">
        <v>4</v>
      </c>
      <c r="I204" t="s">
        <v>172</v>
      </c>
      <c r="J204">
        <v>11</v>
      </c>
      <c r="K204" s="3">
        <v>11040</v>
      </c>
      <c r="L204" s="3">
        <v>121440</v>
      </c>
      <c r="M204" s="3">
        <v>78100</v>
      </c>
      <c r="N204" s="3">
        <v>43340</v>
      </c>
      <c r="O204" s="4">
        <v>0.356884057971014</v>
      </c>
      <c r="P204" t="s">
        <v>165</v>
      </c>
      <c r="Q204" t="s">
        <v>104</v>
      </c>
      <c r="R204" s="3">
        <v>128900</v>
      </c>
      <c r="S204" s="4">
        <v>0.942125678820791</v>
      </c>
      <c r="T204" s="4">
        <v>0.0840813513742951</v>
      </c>
      <c r="U204" t="s">
        <v>116</v>
      </c>
      <c r="V204" s="4">
        <v>0.08</v>
      </c>
      <c r="W204">
        <v>4.2</v>
      </c>
    </row>
    <row r="205" spans="1:23">
      <c r="A205" t="s">
        <v>382</v>
      </c>
      <c r="B205" s="2">
        <v>45813</v>
      </c>
      <c r="C205" t="s">
        <v>38</v>
      </c>
      <c r="D205" t="s">
        <v>150</v>
      </c>
      <c r="E205" t="s">
        <v>24</v>
      </c>
      <c r="F205" t="s">
        <v>196</v>
      </c>
      <c r="G205" t="s">
        <v>161</v>
      </c>
      <c r="H205" t="s">
        <v>27</v>
      </c>
      <c r="I205" t="s">
        <v>157</v>
      </c>
      <c r="J205">
        <v>15</v>
      </c>
      <c r="K205" s="3">
        <v>12260</v>
      </c>
      <c r="L205" s="3">
        <v>183900</v>
      </c>
      <c r="M205" s="3">
        <v>114000</v>
      </c>
      <c r="N205" s="3">
        <v>69900</v>
      </c>
      <c r="O205" s="4">
        <v>0.380097879282219</v>
      </c>
      <c r="P205" t="s">
        <v>101</v>
      </c>
      <c r="Q205" t="s">
        <v>104</v>
      </c>
      <c r="R205" s="3">
        <v>214200</v>
      </c>
      <c r="S205" s="4">
        <v>0.858543417366947</v>
      </c>
      <c r="T205" s="4">
        <v>0.101873198532038</v>
      </c>
      <c r="U205" t="s">
        <v>116</v>
      </c>
      <c r="V205" s="4">
        <v>0.05</v>
      </c>
      <c r="W205">
        <v>4.6</v>
      </c>
    </row>
    <row r="206" spans="1:23">
      <c r="A206" t="s">
        <v>383</v>
      </c>
      <c r="B206" s="2">
        <v>45707</v>
      </c>
      <c r="C206" t="s">
        <v>34</v>
      </c>
      <c r="D206" t="s">
        <v>159</v>
      </c>
      <c r="E206" t="s">
        <v>29</v>
      </c>
      <c r="F206" t="s">
        <v>73</v>
      </c>
      <c r="G206" t="s">
        <v>164</v>
      </c>
      <c r="H206" t="s">
        <v>25</v>
      </c>
      <c r="I206" t="s">
        <v>152</v>
      </c>
      <c r="J206">
        <v>9</v>
      </c>
      <c r="K206" s="3">
        <v>26180</v>
      </c>
      <c r="L206" s="3">
        <v>235620</v>
      </c>
      <c r="M206" s="3">
        <v>165600</v>
      </c>
      <c r="N206" s="3">
        <v>70020</v>
      </c>
      <c r="O206" s="4">
        <v>0.297173414820474</v>
      </c>
      <c r="P206" t="s">
        <v>165</v>
      </c>
      <c r="Q206" t="s">
        <v>104</v>
      </c>
      <c r="R206" s="3">
        <v>259500</v>
      </c>
      <c r="S206" s="4">
        <v>0.907976878612717</v>
      </c>
      <c r="T206" s="4">
        <v>0.0150627040589436</v>
      </c>
      <c r="U206" t="s">
        <v>116</v>
      </c>
      <c r="V206" s="4">
        <v>0</v>
      </c>
      <c r="W206">
        <v>4.8</v>
      </c>
    </row>
    <row r="207" spans="1:23">
      <c r="A207" t="s">
        <v>384</v>
      </c>
      <c r="B207" s="2">
        <v>45722</v>
      </c>
      <c r="C207" t="s">
        <v>35</v>
      </c>
      <c r="D207" t="s">
        <v>159</v>
      </c>
      <c r="E207" t="s">
        <v>28</v>
      </c>
      <c r="F207" t="s">
        <v>167</v>
      </c>
      <c r="G207" t="s">
        <v>156</v>
      </c>
      <c r="H207" t="s">
        <v>27</v>
      </c>
      <c r="I207" t="s">
        <v>157</v>
      </c>
      <c r="J207">
        <v>1</v>
      </c>
      <c r="K207" s="3">
        <v>11270</v>
      </c>
      <c r="L207" s="3">
        <v>11270</v>
      </c>
      <c r="M207" s="3">
        <v>7600</v>
      </c>
      <c r="N207" s="3">
        <v>3670</v>
      </c>
      <c r="O207" s="4">
        <v>0.32564330079858</v>
      </c>
      <c r="P207" t="s">
        <v>101</v>
      </c>
      <c r="Q207" t="s">
        <v>153</v>
      </c>
      <c r="R207" s="3">
        <v>12900</v>
      </c>
      <c r="S207" s="4">
        <v>0.873643410852713</v>
      </c>
      <c r="T207" s="4">
        <v>0.161023545654659</v>
      </c>
      <c r="U207" t="s">
        <v>116</v>
      </c>
      <c r="V207" s="4">
        <v>0.08</v>
      </c>
      <c r="W207">
        <v>4.1</v>
      </c>
    </row>
    <row r="208" spans="1:23">
      <c r="A208" t="s">
        <v>385</v>
      </c>
      <c r="B208" s="2">
        <v>45755</v>
      </c>
      <c r="C208" t="s">
        <v>36</v>
      </c>
      <c r="D208" t="s">
        <v>150</v>
      </c>
      <c r="E208" t="s">
        <v>29</v>
      </c>
      <c r="F208" t="s">
        <v>73</v>
      </c>
      <c r="G208" t="s">
        <v>76</v>
      </c>
      <c r="H208" t="s">
        <v>27</v>
      </c>
      <c r="I208" t="s">
        <v>157</v>
      </c>
      <c r="J208">
        <v>8</v>
      </c>
      <c r="K208" s="3">
        <v>11230</v>
      </c>
      <c r="L208" s="3">
        <v>89840</v>
      </c>
      <c r="M208" s="3">
        <v>60800</v>
      </c>
      <c r="N208" s="3">
        <v>29040</v>
      </c>
      <c r="O208" s="4">
        <v>0.323241317898486</v>
      </c>
      <c r="P208" t="s">
        <v>165</v>
      </c>
      <c r="Q208" t="s">
        <v>153</v>
      </c>
      <c r="R208" s="3">
        <v>92700</v>
      </c>
      <c r="S208" s="4">
        <v>0.969147788565264</v>
      </c>
      <c r="T208" s="4">
        <v>-0.0557151306848019</v>
      </c>
      <c r="U208" t="s">
        <v>116</v>
      </c>
      <c r="V208" s="4">
        <v>0.08</v>
      </c>
      <c r="W208">
        <v>4.5</v>
      </c>
    </row>
    <row r="209" spans="1:23">
      <c r="A209" t="s">
        <v>386</v>
      </c>
      <c r="B209" s="2">
        <v>45937</v>
      </c>
      <c r="C209" t="s">
        <v>42</v>
      </c>
      <c r="D209" t="s">
        <v>145</v>
      </c>
      <c r="E209" t="s">
        <v>26</v>
      </c>
      <c r="F209" t="s">
        <v>171</v>
      </c>
      <c r="G209" t="s">
        <v>147</v>
      </c>
      <c r="H209" t="s">
        <v>30</v>
      </c>
      <c r="I209" t="s">
        <v>81</v>
      </c>
      <c r="J209">
        <v>3</v>
      </c>
      <c r="K209" s="3">
        <v>2190</v>
      </c>
      <c r="L209" s="3">
        <v>6570</v>
      </c>
      <c r="M209" s="3">
        <v>2790</v>
      </c>
      <c r="N209" s="3">
        <v>3780</v>
      </c>
      <c r="O209" s="4">
        <v>0.575342465753425</v>
      </c>
      <c r="P209" t="s">
        <v>165</v>
      </c>
      <c r="Q209" t="s">
        <v>153</v>
      </c>
      <c r="R209" s="3">
        <v>6100</v>
      </c>
      <c r="S209" s="4">
        <v>1.07704918032787</v>
      </c>
      <c r="T209" s="4">
        <v>0.0636433383083549</v>
      </c>
      <c r="U209" t="s">
        <v>116</v>
      </c>
      <c r="V209" s="4">
        <v>0</v>
      </c>
      <c r="W209">
        <v>3.7</v>
      </c>
    </row>
    <row r="210" spans="1:23">
      <c r="A210" t="s">
        <v>387</v>
      </c>
      <c r="B210" s="2">
        <v>45944</v>
      </c>
      <c r="C210" t="s">
        <v>42</v>
      </c>
      <c r="D210" t="s">
        <v>145</v>
      </c>
      <c r="E210" t="s">
        <v>24</v>
      </c>
      <c r="F210" t="s">
        <v>160</v>
      </c>
      <c r="G210" t="s">
        <v>180</v>
      </c>
      <c r="H210" t="s">
        <v>4</v>
      </c>
      <c r="I210" t="s">
        <v>172</v>
      </c>
      <c r="J210">
        <v>4</v>
      </c>
      <c r="K210" s="3">
        <v>11540</v>
      </c>
      <c r="L210" s="3">
        <v>46160</v>
      </c>
      <c r="M210" s="3">
        <v>28400</v>
      </c>
      <c r="N210" s="3">
        <v>17760</v>
      </c>
      <c r="O210" s="4">
        <v>0.38474870017331</v>
      </c>
      <c r="P210" t="s">
        <v>165</v>
      </c>
      <c r="Q210" t="s">
        <v>104</v>
      </c>
      <c r="R210" s="3">
        <v>51700</v>
      </c>
      <c r="S210" s="4">
        <v>0.89284332688588</v>
      </c>
      <c r="T210" s="4">
        <v>0.0653332567134406</v>
      </c>
      <c r="U210" t="s">
        <v>116</v>
      </c>
      <c r="V210" s="4">
        <v>0</v>
      </c>
      <c r="W210">
        <v>4</v>
      </c>
    </row>
    <row r="211" spans="1:23">
      <c r="A211" t="s">
        <v>388</v>
      </c>
      <c r="B211" s="2">
        <v>45779</v>
      </c>
      <c r="C211" t="s">
        <v>37</v>
      </c>
      <c r="D211" t="s">
        <v>150</v>
      </c>
      <c r="E211" t="s">
        <v>29</v>
      </c>
      <c r="F211" t="s">
        <v>183</v>
      </c>
      <c r="G211" t="s">
        <v>76</v>
      </c>
      <c r="H211" t="s">
        <v>25</v>
      </c>
      <c r="I211" t="s">
        <v>152</v>
      </c>
      <c r="J211">
        <v>9</v>
      </c>
      <c r="K211" s="3">
        <v>24690</v>
      </c>
      <c r="L211" s="3">
        <v>222210</v>
      </c>
      <c r="M211" s="3">
        <v>165600</v>
      </c>
      <c r="N211" s="3">
        <v>56610</v>
      </c>
      <c r="O211" s="4">
        <v>0.254759011745646</v>
      </c>
      <c r="P211" t="s">
        <v>101</v>
      </c>
      <c r="Q211" t="s">
        <v>104</v>
      </c>
      <c r="R211" s="3">
        <v>258800</v>
      </c>
      <c r="S211" s="4">
        <v>0.858616692426584</v>
      </c>
      <c r="T211" s="4">
        <v>0.150583552961534</v>
      </c>
      <c r="U211" t="s">
        <v>116</v>
      </c>
      <c r="V211" s="4">
        <v>0.03</v>
      </c>
      <c r="W211">
        <v>3.8</v>
      </c>
    </row>
    <row r="212" spans="1:23">
      <c r="A212" t="s">
        <v>389</v>
      </c>
      <c r="B212" s="2">
        <v>45660</v>
      </c>
      <c r="C212" t="s">
        <v>33</v>
      </c>
      <c r="D212" t="s">
        <v>159</v>
      </c>
      <c r="E212" t="s">
        <v>24</v>
      </c>
      <c r="F212" t="s">
        <v>179</v>
      </c>
      <c r="G212" t="s">
        <v>161</v>
      </c>
      <c r="H212" t="s">
        <v>27</v>
      </c>
      <c r="I212" t="s">
        <v>148</v>
      </c>
      <c r="J212">
        <v>15</v>
      </c>
      <c r="K212" s="3">
        <v>21810</v>
      </c>
      <c r="L212" s="3">
        <v>327150</v>
      </c>
      <c r="M212" s="3">
        <v>208500</v>
      </c>
      <c r="N212" s="3">
        <v>118650</v>
      </c>
      <c r="O212" s="4">
        <v>0.362677670793214</v>
      </c>
      <c r="P212" t="s">
        <v>165</v>
      </c>
      <c r="Q212" t="s">
        <v>153</v>
      </c>
      <c r="R212" s="3">
        <v>335500</v>
      </c>
      <c r="S212" s="4">
        <v>0.975111773472429</v>
      </c>
      <c r="T212" s="4">
        <v>-0.0380371972757963</v>
      </c>
      <c r="U212" t="s">
        <v>211</v>
      </c>
      <c r="V212" s="4">
        <v>0</v>
      </c>
      <c r="W212">
        <v>4.7</v>
      </c>
    </row>
    <row r="213" spans="1:23">
      <c r="A213" t="s">
        <v>390</v>
      </c>
      <c r="B213" s="2">
        <v>45737</v>
      </c>
      <c r="C213" t="s">
        <v>35</v>
      </c>
      <c r="D213" t="s">
        <v>159</v>
      </c>
      <c r="E213" t="s">
        <v>24</v>
      </c>
      <c r="F213" t="s">
        <v>160</v>
      </c>
      <c r="G213" t="s">
        <v>180</v>
      </c>
      <c r="H213" t="s">
        <v>30</v>
      </c>
      <c r="I213" t="s">
        <v>216</v>
      </c>
      <c r="J213">
        <v>11</v>
      </c>
      <c r="K213" s="3">
        <v>6050</v>
      </c>
      <c r="L213" s="3">
        <v>66550</v>
      </c>
      <c r="M213" s="3">
        <v>32120</v>
      </c>
      <c r="N213" s="3">
        <v>34430</v>
      </c>
      <c r="O213" s="4">
        <v>0.517355371900826</v>
      </c>
      <c r="P213" t="s">
        <v>101</v>
      </c>
      <c r="Q213" t="s">
        <v>104</v>
      </c>
      <c r="R213" s="3">
        <v>68300</v>
      </c>
      <c r="S213" s="4">
        <v>0.974377745241581</v>
      </c>
      <c r="T213" s="4">
        <v>0.0171843176687931</v>
      </c>
      <c r="U213" t="s">
        <v>116</v>
      </c>
      <c r="V213" s="4">
        <v>0</v>
      </c>
      <c r="W213">
        <v>3.7</v>
      </c>
    </row>
    <row r="214" spans="1:23">
      <c r="A214" t="s">
        <v>391</v>
      </c>
      <c r="B214" s="2">
        <v>45921</v>
      </c>
      <c r="C214" t="s">
        <v>41</v>
      </c>
      <c r="D214" t="s">
        <v>69</v>
      </c>
      <c r="E214" t="s">
        <v>24</v>
      </c>
      <c r="F214" t="s">
        <v>179</v>
      </c>
      <c r="G214" t="s">
        <v>180</v>
      </c>
      <c r="H214" t="s">
        <v>27</v>
      </c>
      <c r="I214" t="s">
        <v>157</v>
      </c>
      <c r="J214">
        <v>13</v>
      </c>
      <c r="K214" s="3">
        <v>12650</v>
      </c>
      <c r="L214" s="3">
        <v>164450</v>
      </c>
      <c r="M214" s="3">
        <v>98800</v>
      </c>
      <c r="N214" s="3">
        <v>65650</v>
      </c>
      <c r="O214" s="4">
        <v>0.399209486166008</v>
      </c>
      <c r="P214" t="s">
        <v>101</v>
      </c>
      <c r="Q214" t="s">
        <v>104</v>
      </c>
      <c r="R214" s="3">
        <v>170200</v>
      </c>
      <c r="S214" s="4">
        <v>0.966216216216216</v>
      </c>
      <c r="T214" s="4">
        <v>0.153590958342001</v>
      </c>
      <c r="U214" t="s">
        <v>116</v>
      </c>
      <c r="V214" s="4">
        <v>0</v>
      </c>
      <c r="W214">
        <v>3.8</v>
      </c>
    </row>
    <row r="215" spans="1:23">
      <c r="A215" t="s">
        <v>392</v>
      </c>
      <c r="B215" s="2">
        <v>45736</v>
      </c>
      <c r="C215" t="s">
        <v>35</v>
      </c>
      <c r="D215" t="s">
        <v>159</v>
      </c>
      <c r="E215" t="s">
        <v>29</v>
      </c>
      <c r="F215" t="s">
        <v>73</v>
      </c>
      <c r="G215" t="s">
        <v>76</v>
      </c>
      <c r="H215" t="s">
        <v>4</v>
      </c>
      <c r="I215" t="s">
        <v>184</v>
      </c>
      <c r="J215">
        <v>12</v>
      </c>
      <c r="K215" s="3">
        <v>13470</v>
      </c>
      <c r="L215" s="3">
        <v>161640</v>
      </c>
      <c r="M215" s="3">
        <v>99000</v>
      </c>
      <c r="N215" s="3">
        <v>62640</v>
      </c>
      <c r="O215" s="4">
        <v>0.387527839643653</v>
      </c>
      <c r="P215" t="s">
        <v>165</v>
      </c>
      <c r="Q215" t="s">
        <v>104</v>
      </c>
      <c r="R215" s="3">
        <v>189700</v>
      </c>
      <c r="S215" s="4">
        <v>0.852082235108065</v>
      </c>
      <c r="T215" s="4">
        <v>-0.0324911329023582</v>
      </c>
      <c r="U215" t="s">
        <v>116</v>
      </c>
      <c r="V215" s="4">
        <v>0.03</v>
      </c>
      <c r="W215">
        <v>3.9</v>
      </c>
    </row>
    <row r="216" spans="1:23">
      <c r="A216" t="s">
        <v>393</v>
      </c>
      <c r="B216" s="2">
        <v>45881</v>
      </c>
      <c r="C216" t="s">
        <v>40</v>
      </c>
      <c r="D216" t="s">
        <v>69</v>
      </c>
      <c r="E216" t="s">
        <v>28</v>
      </c>
      <c r="F216" t="s">
        <v>177</v>
      </c>
      <c r="G216" t="s">
        <v>168</v>
      </c>
      <c r="H216" t="s">
        <v>27</v>
      </c>
      <c r="I216" t="s">
        <v>157</v>
      </c>
      <c r="J216">
        <v>9</v>
      </c>
      <c r="K216" s="3">
        <v>12190</v>
      </c>
      <c r="L216" s="3">
        <v>109710</v>
      </c>
      <c r="M216" s="3">
        <v>68400</v>
      </c>
      <c r="N216" s="3">
        <v>41310</v>
      </c>
      <c r="O216" s="4">
        <v>0.376538146021329</v>
      </c>
      <c r="P216" t="s">
        <v>101</v>
      </c>
      <c r="Q216" t="s">
        <v>104</v>
      </c>
      <c r="R216" s="3">
        <v>116600</v>
      </c>
      <c r="S216" s="4">
        <v>0.940909090909091</v>
      </c>
      <c r="T216" s="4">
        <v>0.0407220048330346</v>
      </c>
      <c r="U216" t="s">
        <v>116</v>
      </c>
      <c r="V216" s="4">
        <v>0.05</v>
      </c>
      <c r="W216">
        <v>3.7</v>
      </c>
    </row>
    <row r="217" spans="1:23">
      <c r="A217" t="s">
        <v>394</v>
      </c>
      <c r="B217" s="2">
        <v>45929</v>
      </c>
      <c r="C217" t="s">
        <v>41</v>
      </c>
      <c r="D217" t="s">
        <v>69</v>
      </c>
      <c r="E217" t="s">
        <v>28</v>
      </c>
      <c r="F217" t="s">
        <v>167</v>
      </c>
      <c r="G217" t="s">
        <v>156</v>
      </c>
      <c r="H217" t="s">
        <v>27</v>
      </c>
      <c r="I217" t="s">
        <v>157</v>
      </c>
      <c r="J217">
        <v>7</v>
      </c>
      <c r="K217" s="3">
        <v>12520</v>
      </c>
      <c r="L217" s="3">
        <v>87640</v>
      </c>
      <c r="M217" s="3">
        <v>53200</v>
      </c>
      <c r="N217" s="3">
        <v>34440</v>
      </c>
      <c r="O217" s="4">
        <v>0.39297124600639</v>
      </c>
      <c r="P217" t="s">
        <v>165</v>
      </c>
      <c r="Q217" t="s">
        <v>104</v>
      </c>
      <c r="R217" s="3">
        <v>102700</v>
      </c>
      <c r="S217" s="4">
        <v>0.853359298928919</v>
      </c>
      <c r="T217" s="4">
        <v>-0.0140759868998808</v>
      </c>
      <c r="U217" t="s">
        <v>116</v>
      </c>
      <c r="V217" s="4">
        <v>0</v>
      </c>
      <c r="W217">
        <v>5</v>
      </c>
    </row>
    <row r="218" spans="1:23">
      <c r="A218" t="s">
        <v>395</v>
      </c>
      <c r="B218" s="2">
        <v>45895</v>
      </c>
      <c r="C218" t="s">
        <v>40</v>
      </c>
      <c r="D218" t="s">
        <v>69</v>
      </c>
      <c r="E218" t="s">
        <v>29</v>
      </c>
      <c r="F218" t="s">
        <v>183</v>
      </c>
      <c r="G218" t="s">
        <v>76</v>
      </c>
      <c r="H218" t="s">
        <v>30</v>
      </c>
      <c r="I218" t="s">
        <v>81</v>
      </c>
      <c r="J218">
        <v>4</v>
      </c>
      <c r="K218" s="3">
        <v>1970</v>
      </c>
      <c r="L218" s="3">
        <v>7880</v>
      </c>
      <c r="M218" s="3">
        <v>3720</v>
      </c>
      <c r="N218" s="3">
        <v>4160</v>
      </c>
      <c r="O218" s="4">
        <v>0.527918781725888</v>
      </c>
      <c r="P218" t="s">
        <v>165</v>
      </c>
      <c r="Q218" t="s">
        <v>104</v>
      </c>
      <c r="R218" s="3">
        <v>8500</v>
      </c>
      <c r="S218" s="4">
        <v>0.927058823529412</v>
      </c>
      <c r="T218" s="4">
        <v>-0.0668985973591273</v>
      </c>
      <c r="U218" t="s">
        <v>116</v>
      </c>
      <c r="V218" s="4">
        <v>0.08</v>
      </c>
      <c r="W218">
        <v>4.3</v>
      </c>
    </row>
    <row r="219" spans="1:23">
      <c r="A219" t="s">
        <v>396</v>
      </c>
      <c r="B219" s="2">
        <v>45834</v>
      </c>
      <c r="C219" t="s">
        <v>38</v>
      </c>
      <c r="D219" t="s">
        <v>150</v>
      </c>
      <c r="E219" t="s">
        <v>26</v>
      </c>
      <c r="F219" t="s">
        <v>174</v>
      </c>
      <c r="G219" t="s">
        <v>175</v>
      </c>
      <c r="H219" t="s">
        <v>25</v>
      </c>
      <c r="I219" t="s">
        <v>152</v>
      </c>
      <c r="J219">
        <v>6</v>
      </c>
      <c r="K219" s="3">
        <v>25410</v>
      </c>
      <c r="L219" s="3">
        <v>152460</v>
      </c>
      <c r="M219" s="3">
        <v>110400</v>
      </c>
      <c r="N219" s="3">
        <v>42060</v>
      </c>
      <c r="O219" s="4">
        <v>0.275875639512003</v>
      </c>
      <c r="P219" t="s">
        <v>101</v>
      </c>
      <c r="Q219" t="s">
        <v>153</v>
      </c>
      <c r="R219" s="3">
        <v>158400</v>
      </c>
      <c r="S219" s="4">
        <v>0.9625</v>
      </c>
      <c r="T219" s="4">
        <v>0.193823222993558</v>
      </c>
      <c r="U219" t="s">
        <v>116</v>
      </c>
      <c r="V219" s="4">
        <v>0</v>
      </c>
      <c r="W219">
        <v>3.5</v>
      </c>
    </row>
    <row r="220" spans="1:23">
      <c r="A220" t="s">
        <v>397</v>
      </c>
      <c r="B220" s="2">
        <v>45761</v>
      </c>
      <c r="C220" t="s">
        <v>36</v>
      </c>
      <c r="D220" t="s">
        <v>150</v>
      </c>
      <c r="E220" t="s">
        <v>24</v>
      </c>
      <c r="F220" t="s">
        <v>179</v>
      </c>
      <c r="G220" t="s">
        <v>180</v>
      </c>
      <c r="H220" t="s">
        <v>30</v>
      </c>
      <c r="I220" t="s">
        <v>216</v>
      </c>
      <c r="J220">
        <v>2</v>
      </c>
      <c r="K220" s="3">
        <v>5440</v>
      </c>
      <c r="L220" s="3">
        <v>10880</v>
      </c>
      <c r="M220" s="3">
        <v>5840</v>
      </c>
      <c r="N220" s="3">
        <v>5040</v>
      </c>
      <c r="O220" s="4">
        <v>0.463235294117647</v>
      </c>
      <c r="P220" t="s">
        <v>165</v>
      </c>
      <c r="Q220" t="s">
        <v>153</v>
      </c>
      <c r="R220" s="3">
        <v>10500</v>
      </c>
      <c r="S220" s="4">
        <v>1.03619047619048</v>
      </c>
      <c r="T220" s="4">
        <v>-0.00307767071919914</v>
      </c>
      <c r="U220" t="s">
        <v>193</v>
      </c>
      <c r="V220" s="4">
        <v>0.08</v>
      </c>
      <c r="W220">
        <v>4.5</v>
      </c>
    </row>
    <row r="221" spans="1:23">
      <c r="A221" t="s">
        <v>398</v>
      </c>
      <c r="B221" s="2">
        <v>45798</v>
      </c>
      <c r="C221" t="s">
        <v>37</v>
      </c>
      <c r="D221" t="s">
        <v>150</v>
      </c>
      <c r="E221" t="s">
        <v>29</v>
      </c>
      <c r="F221" t="s">
        <v>151</v>
      </c>
      <c r="G221" t="s">
        <v>76</v>
      </c>
      <c r="H221" t="s">
        <v>27</v>
      </c>
      <c r="I221" t="s">
        <v>148</v>
      </c>
      <c r="J221">
        <v>1</v>
      </c>
      <c r="K221" s="3">
        <v>19620</v>
      </c>
      <c r="L221" s="3">
        <v>19620</v>
      </c>
      <c r="M221" s="3">
        <v>13900</v>
      </c>
      <c r="N221" s="3">
        <v>5720</v>
      </c>
      <c r="O221" s="4">
        <v>0.291539245667686</v>
      </c>
      <c r="P221" t="s">
        <v>165</v>
      </c>
      <c r="Q221" t="s">
        <v>153</v>
      </c>
      <c r="R221" s="3">
        <v>21400</v>
      </c>
      <c r="S221" s="4">
        <v>0.916822429906542</v>
      </c>
      <c r="T221" s="4">
        <v>-0.0440293949287652</v>
      </c>
      <c r="U221" t="s">
        <v>116</v>
      </c>
      <c r="V221" s="4">
        <v>0.08</v>
      </c>
      <c r="W221">
        <v>4.8</v>
      </c>
    </row>
    <row r="222" spans="1:23">
      <c r="A222" t="s">
        <v>399</v>
      </c>
      <c r="B222" s="2">
        <v>45886</v>
      </c>
      <c r="C222" t="s">
        <v>40</v>
      </c>
      <c r="D222" t="s">
        <v>69</v>
      </c>
      <c r="E222" t="s">
        <v>28</v>
      </c>
      <c r="F222" t="s">
        <v>177</v>
      </c>
      <c r="G222" t="s">
        <v>168</v>
      </c>
      <c r="H222" t="s">
        <v>25</v>
      </c>
      <c r="I222" t="s">
        <v>207</v>
      </c>
      <c r="J222">
        <v>7</v>
      </c>
      <c r="K222" s="3">
        <v>70270</v>
      </c>
      <c r="L222" s="3">
        <v>491890</v>
      </c>
      <c r="M222" s="3">
        <v>367500</v>
      </c>
      <c r="N222" s="3">
        <v>124390</v>
      </c>
      <c r="O222" s="4">
        <v>0.252881741852853</v>
      </c>
      <c r="P222" t="s">
        <v>165</v>
      </c>
      <c r="Q222" t="s">
        <v>104</v>
      </c>
      <c r="R222" s="3">
        <v>575500</v>
      </c>
      <c r="S222" s="4">
        <v>0.854717636837533</v>
      </c>
      <c r="T222" s="4">
        <v>0.15531144973033</v>
      </c>
      <c r="U222" t="s">
        <v>211</v>
      </c>
      <c r="V222" s="4">
        <v>0.05</v>
      </c>
      <c r="W222">
        <v>3.6</v>
      </c>
    </row>
    <row r="223" spans="1:23">
      <c r="A223" t="s">
        <v>400</v>
      </c>
      <c r="B223" s="2">
        <v>45820</v>
      </c>
      <c r="C223" t="s">
        <v>38</v>
      </c>
      <c r="D223" t="s">
        <v>150</v>
      </c>
      <c r="E223" t="s">
        <v>24</v>
      </c>
      <c r="F223" t="s">
        <v>179</v>
      </c>
      <c r="G223" t="s">
        <v>161</v>
      </c>
      <c r="H223" t="s">
        <v>30</v>
      </c>
      <c r="I223" t="s">
        <v>216</v>
      </c>
      <c r="J223">
        <v>1</v>
      </c>
      <c r="K223" s="3">
        <v>5860</v>
      </c>
      <c r="L223" s="3">
        <v>5860</v>
      </c>
      <c r="M223" s="3">
        <v>2920</v>
      </c>
      <c r="N223" s="3">
        <v>2940</v>
      </c>
      <c r="O223" s="4">
        <v>0.501706484641638</v>
      </c>
      <c r="P223" t="s">
        <v>165</v>
      </c>
      <c r="Q223" t="s">
        <v>153</v>
      </c>
      <c r="R223" s="3">
        <v>6000</v>
      </c>
      <c r="S223" s="4">
        <v>0.976666666666667</v>
      </c>
      <c r="T223" s="4">
        <v>-0.0487957410473811</v>
      </c>
      <c r="U223" t="s">
        <v>116</v>
      </c>
      <c r="V223" s="4">
        <v>0.03</v>
      </c>
      <c r="W223">
        <v>4.7</v>
      </c>
    </row>
    <row r="224" spans="1:23">
      <c r="A224" t="s">
        <v>401</v>
      </c>
      <c r="B224" s="2">
        <v>45985</v>
      </c>
      <c r="C224" t="s">
        <v>43</v>
      </c>
      <c r="D224" t="s">
        <v>145</v>
      </c>
      <c r="E224" t="s">
        <v>29</v>
      </c>
      <c r="F224" t="s">
        <v>183</v>
      </c>
      <c r="G224" t="s">
        <v>164</v>
      </c>
      <c r="H224" t="s">
        <v>4</v>
      </c>
      <c r="I224" t="s">
        <v>172</v>
      </c>
      <c r="J224">
        <v>8</v>
      </c>
      <c r="K224" s="3">
        <v>10720</v>
      </c>
      <c r="L224" s="3">
        <v>85760</v>
      </c>
      <c r="M224" s="3">
        <v>56800</v>
      </c>
      <c r="N224" s="3">
        <v>28960</v>
      </c>
      <c r="O224" s="4">
        <v>0.337686567164179</v>
      </c>
      <c r="P224" t="s">
        <v>101</v>
      </c>
      <c r="Q224" t="s">
        <v>104</v>
      </c>
      <c r="R224" s="3">
        <v>80200</v>
      </c>
      <c r="S224" s="4">
        <v>1.06932668329177</v>
      </c>
      <c r="T224" s="4">
        <v>0.00537373538290918</v>
      </c>
      <c r="U224" t="s">
        <v>116</v>
      </c>
      <c r="V224" s="4">
        <v>0.05</v>
      </c>
      <c r="W224">
        <v>4.3</v>
      </c>
    </row>
    <row r="225" spans="1:23">
      <c r="A225" t="s">
        <v>402</v>
      </c>
      <c r="B225" s="2">
        <v>45727</v>
      </c>
      <c r="C225" t="s">
        <v>35</v>
      </c>
      <c r="D225" t="s">
        <v>159</v>
      </c>
      <c r="E225" t="s">
        <v>29</v>
      </c>
      <c r="F225" t="s">
        <v>183</v>
      </c>
      <c r="G225" t="s">
        <v>76</v>
      </c>
      <c r="H225" t="s">
        <v>27</v>
      </c>
      <c r="I225" t="s">
        <v>148</v>
      </c>
      <c r="J225">
        <v>13</v>
      </c>
      <c r="K225" s="3">
        <v>21440</v>
      </c>
      <c r="L225" s="3">
        <v>278720</v>
      </c>
      <c r="M225" s="3">
        <v>180700</v>
      </c>
      <c r="N225" s="3">
        <v>98020</v>
      </c>
      <c r="O225" s="4">
        <v>0.351679104477612</v>
      </c>
      <c r="P225" t="s">
        <v>101</v>
      </c>
      <c r="Q225" t="s">
        <v>153</v>
      </c>
      <c r="R225" s="3">
        <v>327000</v>
      </c>
      <c r="S225" s="4">
        <v>0.852354740061162</v>
      </c>
      <c r="T225" s="4">
        <v>0.127319693908084</v>
      </c>
      <c r="U225" t="s">
        <v>211</v>
      </c>
      <c r="V225" s="4">
        <v>0</v>
      </c>
      <c r="W225">
        <v>4.9</v>
      </c>
    </row>
    <row r="226" spans="1:23">
      <c r="A226" t="s">
        <v>403</v>
      </c>
      <c r="B226" s="2">
        <v>45993</v>
      </c>
      <c r="C226" t="s">
        <v>44</v>
      </c>
      <c r="D226" t="s">
        <v>145</v>
      </c>
      <c r="E226" t="s">
        <v>28</v>
      </c>
      <c r="F226" t="s">
        <v>177</v>
      </c>
      <c r="G226" t="s">
        <v>168</v>
      </c>
      <c r="H226" t="s">
        <v>30</v>
      </c>
      <c r="I226" t="s">
        <v>169</v>
      </c>
      <c r="J226">
        <v>7</v>
      </c>
      <c r="K226" s="3">
        <v>3870</v>
      </c>
      <c r="L226" s="3">
        <v>27090</v>
      </c>
      <c r="M226" s="3">
        <v>12320</v>
      </c>
      <c r="N226" s="3">
        <v>14770</v>
      </c>
      <c r="O226" s="4">
        <v>0.545219638242894</v>
      </c>
      <c r="P226" t="s">
        <v>101</v>
      </c>
      <c r="Q226" t="s">
        <v>104</v>
      </c>
      <c r="R226" s="3">
        <v>28800</v>
      </c>
      <c r="S226" s="4">
        <v>0.940625</v>
      </c>
      <c r="T226" s="4">
        <v>0.0413174752727891</v>
      </c>
      <c r="U226" t="s">
        <v>116</v>
      </c>
      <c r="V226" s="4">
        <v>0</v>
      </c>
      <c r="W226">
        <v>4.9</v>
      </c>
    </row>
    <row r="227" spans="1:23">
      <c r="A227" t="s">
        <v>404</v>
      </c>
      <c r="B227" s="2">
        <v>45999</v>
      </c>
      <c r="C227" t="s">
        <v>44</v>
      </c>
      <c r="D227" t="s">
        <v>145</v>
      </c>
      <c r="E227" t="s">
        <v>26</v>
      </c>
      <c r="F227" t="s">
        <v>171</v>
      </c>
      <c r="G227" t="s">
        <v>175</v>
      </c>
      <c r="H227" t="s">
        <v>27</v>
      </c>
      <c r="I227" t="s">
        <v>148</v>
      </c>
      <c r="J227">
        <v>3</v>
      </c>
      <c r="K227" s="3">
        <v>19460</v>
      </c>
      <c r="L227" s="3">
        <v>58380</v>
      </c>
      <c r="M227" s="3">
        <v>41700</v>
      </c>
      <c r="N227" s="3">
        <v>16680</v>
      </c>
      <c r="O227" s="4">
        <v>0.285714285714286</v>
      </c>
      <c r="P227" t="s">
        <v>165</v>
      </c>
      <c r="Q227" t="s">
        <v>104</v>
      </c>
      <c r="R227" s="3">
        <v>60600</v>
      </c>
      <c r="S227" s="4">
        <v>0.963366336633663</v>
      </c>
      <c r="T227" s="4">
        <v>0.114133584636992</v>
      </c>
      <c r="U227" t="s">
        <v>116</v>
      </c>
      <c r="V227" s="4">
        <v>0.08</v>
      </c>
      <c r="W227">
        <v>3.5</v>
      </c>
    </row>
    <row r="228" spans="1:23">
      <c r="A228" t="s">
        <v>405</v>
      </c>
      <c r="B228" s="2">
        <v>45931</v>
      </c>
      <c r="C228" t="s">
        <v>42</v>
      </c>
      <c r="D228" t="s">
        <v>145</v>
      </c>
      <c r="E228" t="s">
        <v>26</v>
      </c>
      <c r="F228" t="s">
        <v>146</v>
      </c>
      <c r="G228" t="s">
        <v>147</v>
      </c>
      <c r="H228" t="s">
        <v>25</v>
      </c>
      <c r="I228" t="s">
        <v>152</v>
      </c>
      <c r="J228">
        <v>6</v>
      </c>
      <c r="K228" s="3">
        <v>26900</v>
      </c>
      <c r="L228" s="3">
        <v>161400</v>
      </c>
      <c r="M228" s="3">
        <v>110400</v>
      </c>
      <c r="N228" s="3">
        <v>51000</v>
      </c>
      <c r="O228" s="4">
        <v>0.315985130111524</v>
      </c>
      <c r="P228" t="s">
        <v>101</v>
      </c>
      <c r="Q228" t="s">
        <v>104</v>
      </c>
      <c r="R228" s="3">
        <v>149900</v>
      </c>
      <c r="S228" s="4">
        <v>1.07671781187458</v>
      </c>
      <c r="T228" s="4">
        <v>0.102861016756913</v>
      </c>
      <c r="U228" t="s">
        <v>116</v>
      </c>
      <c r="V228" s="4">
        <v>0</v>
      </c>
      <c r="W228">
        <v>3.9</v>
      </c>
    </row>
    <row r="229" spans="1:23">
      <c r="A229" t="s">
        <v>406</v>
      </c>
      <c r="B229" s="2">
        <v>45904</v>
      </c>
      <c r="C229" t="s">
        <v>41</v>
      </c>
      <c r="D229" t="s">
        <v>69</v>
      </c>
      <c r="E229" t="s">
        <v>26</v>
      </c>
      <c r="F229" t="s">
        <v>146</v>
      </c>
      <c r="G229" t="s">
        <v>175</v>
      </c>
      <c r="H229" t="s">
        <v>4</v>
      </c>
      <c r="I229" t="s">
        <v>184</v>
      </c>
      <c r="J229">
        <v>8</v>
      </c>
      <c r="K229" s="3">
        <v>12660</v>
      </c>
      <c r="L229" s="3">
        <v>101280</v>
      </c>
      <c r="M229" s="3">
        <v>66000</v>
      </c>
      <c r="N229" s="3">
        <v>35280</v>
      </c>
      <c r="O229" s="4">
        <v>0.348341232227488</v>
      </c>
      <c r="P229" t="s">
        <v>101</v>
      </c>
      <c r="Q229" t="s">
        <v>153</v>
      </c>
      <c r="R229" s="3">
        <v>113400</v>
      </c>
      <c r="S229" s="4">
        <v>0.893121693121693</v>
      </c>
      <c r="T229" s="4">
        <v>0.0579602404086016</v>
      </c>
      <c r="U229" t="s">
        <v>116</v>
      </c>
      <c r="V229" s="4">
        <v>0.08</v>
      </c>
      <c r="W229">
        <v>3.6</v>
      </c>
    </row>
    <row r="230" spans="1:23">
      <c r="A230" t="s">
        <v>407</v>
      </c>
      <c r="B230" s="2">
        <v>45784</v>
      </c>
      <c r="C230" t="s">
        <v>37</v>
      </c>
      <c r="D230" t="s">
        <v>150</v>
      </c>
      <c r="E230" t="s">
        <v>28</v>
      </c>
      <c r="F230" t="s">
        <v>177</v>
      </c>
      <c r="G230" t="s">
        <v>168</v>
      </c>
      <c r="H230" t="s">
        <v>30</v>
      </c>
      <c r="I230" t="s">
        <v>169</v>
      </c>
      <c r="J230">
        <v>5</v>
      </c>
      <c r="K230" s="3">
        <v>3880</v>
      </c>
      <c r="L230" s="3">
        <v>19400</v>
      </c>
      <c r="M230" s="3">
        <v>8800</v>
      </c>
      <c r="N230" s="3">
        <v>10600</v>
      </c>
      <c r="O230" s="4">
        <v>0.54639175257732</v>
      </c>
      <c r="P230" t="s">
        <v>165</v>
      </c>
      <c r="Q230" t="s">
        <v>104</v>
      </c>
      <c r="R230" s="3">
        <v>20200</v>
      </c>
      <c r="S230" s="4">
        <v>0.96039603960396</v>
      </c>
      <c r="T230" s="4">
        <v>0.018381229321174</v>
      </c>
      <c r="U230" t="s">
        <v>116</v>
      </c>
      <c r="V230" s="4">
        <v>0.05</v>
      </c>
      <c r="W230">
        <v>4.7</v>
      </c>
    </row>
    <row r="231" spans="1:23">
      <c r="A231" t="s">
        <v>408</v>
      </c>
      <c r="B231" s="2">
        <v>45719</v>
      </c>
      <c r="C231" t="s">
        <v>35</v>
      </c>
      <c r="D231" t="s">
        <v>159</v>
      </c>
      <c r="E231" t="s">
        <v>24</v>
      </c>
      <c r="F231" t="s">
        <v>160</v>
      </c>
      <c r="G231" t="s">
        <v>161</v>
      </c>
      <c r="H231" t="s">
        <v>30</v>
      </c>
      <c r="I231" t="s">
        <v>216</v>
      </c>
      <c r="J231">
        <v>14</v>
      </c>
      <c r="K231" s="3">
        <v>5430</v>
      </c>
      <c r="L231" s="3">
        <v>76020</v>
      </c>
      <c r="M231" s="3">
        <v>40880</v>
      </c>
      <c r="N231" s="3">
        <v>35140</v>
      </c>
      <c r="O231" s="4">
        <v>0.462246777163904</v>
      </c>
      <c r="P231" t="s">
        <v>101</v>
      </c>
      <c r="Q231" t="s">
        <v>153</v>
      </c>
      <c r="R231" s="3">
        <v>69600</v>
      </c>
      <c r="S231" s="4">
        <v>1.09224137931034</v>
      </c>
      <c r="T231" s="4">
        <v>0.0887021147319593</v>
      </c>
      <c r="U231" t="s">
        <v>116</v>
      </c>
      <c r="V231" s="4">
        <v>0.05</v>
      </c>
      <c r="W231">
        <v>4.6</v>
      </c>
    </row>
    <row r="232" spans="1:23">
      <c r="A232" t="s">
        <v>409</v>
      </c>
      <c r="B232" s="2">
        <v>45875</v>
      </c>
      <c r="C232" t="s">
        <v>40</v>
      </c>
      <c r="D232" t="s">
        <v>69</v>
      </c>
      <c r="E232" t="s">
        <v>29</v>
      </c>
      <c r="F232" t="s">
        <v>151</v>
      </c>
      <c r="G232" t="s">
        <v>76</v>
      </c>
      <c r="H232" t="s">
        <v>25</v>
      </c>
      <c r="I232" t="s">
        <v>207</v>
      </c>
      <c r="J232">
        <v>6</v>
      </c>
      <c r="K232" s="3">
        <v>64880</v>
      </c>
      <c r="L232" s="3">
        <v>389280</v>
      </c>
      <c r="M232" s="3">
        <v>315000</v>
      </c>
      <c r="N232" s="3">
        <v>74280</v>
      </c>
      <c r="O232" s="4">
        <v>0.190813810110974</v>
      </c>
      <c r="P232" t="s">
        <v>101</v>
      </c>
      <c r="Q232" t="s">
        <v>104</v>
      </c>
      <c r="R232" s="3">
        <v>451700</v>
      </c>
      <c r="S232" s="4">
        <v>0.861810936462254</v>
      </c>
      <c r="T232" s="4">
        <v>0.125189285722159</v>
      </c>
      <c r="U232" t="s">
        <v>116</v>
      </c>
      <c r="V232" s="4">
        <v>0.08</v>
      </c>
      <c r="W232">
        <v>4.3</v>
      </c>
    </row>
    <row r="233" spans="1:23">
      <c r="A233" t="s">
        <v>410</v>
      </c>
      <c r="B233" s="2">
        <v>45765</v>
      </c>
      <c r="C233" t="s">
        <v>36</v>
      </c>
      <c r="D233" t="s">
        <v>150</v>
      </c>
      <c r="E233" t="s">
        <v>24</v>
      </c>
      <c r="F233" t="s">
        <v>196</v>
      </c>
      <c r="G233" t="s">
        <v>161</v>
      </c>
      <c r="H233" t="s">
        <v>27</v>
      </c>
      <c r="I233" t="s">
        <v>157</v>
      </c>
      <c r="J233">
        <v>3</v>
      </c>
      <c r="K233" s="3">
        <v>12490</v>
      </c>
      <c r="L233" s="3">
        <v>37470</v>
      </c>
      <c r="M233" s="3">
        <v>22800</v>
      </c>
      <c r="N233" s="3">
        <v>14670</v>
      </c>
      <c r="O233" s="4">
        <v>0.391513210568455</v>
      </c>
      <c r="P233" t="s">
        <v>165</v>
      </c>
      <c r="Q233" t="s">
        <v>153</v>
      </c>
      <c r="R233" s="3">
        <v>34300</v>
      </c>
      <c r="S233" s="4">
        <v>1.09241982507289</v>
      </c>
      <c r="T233" s="4">
        <v>0.11070391482442</v>
      </c>
      <c r="U233" t="s">
        <v>116</v>
      </c>
      <c r="V233" s="4">
        <v>0.03</v>
      </c>
      <c r="W233">
        <v>4.1</v>
      </c>
    </row>
    <row r="234" spans="1:23">
      <c r="A234" t="s">
        <v>411</v>
      </c>
      <c r="B234" s="2">
        <v>45880</v>
      </c>
      <c r="C234" t="s">
        <v>40</v>
      </c>
      <c r="D234" t="s">
        <v>69</v>
      </c>
      <c r="E234" t="s">
        <v>28</v>
      </c>
      <c r="F234" t="s">
        <v>177</v>
      </c>
      <c r="G234" t="s">
        <v>168</v>
      </c>
      <c r="H234" t="s">
        <v>30</v>
      </c>
      <c r="I234" t="s">
        <v>169</v>
      </c>
      <c r="J234">
        <v>10</v>
      </c>
      <c r="K234" s="3">
        <v>3980</v>
      </c>
      <c r="L234" s="3">
        <v>39800</v>
      </c>
      <c r="M234" s="3">
        <v>17600</v>
      </c>
      <c r="N234" s="3">
        <v>22200</v>
      </c>
      <c r="O234" s="4">
        <v>0.557788944723618</v>
      </c>
      <c r="P234" t="s">
        <v>165</v>
      </c>
      <c r="Q234" t="s">
        <v>153</v>
      </c>
      <c r="R234" s="3">
        <v>40400</v>
      </c>
      <c r="S234" s="4">
        <v>0.985148514851485</v>
      </c>
      <c r="T234" s="4">
        <v>0.0998109366691541</v>
      </c>
      <c r="U234" t="s">
        <v>116</v>
      </c>
      <c r="V234" s="4">
        <v>0</v>
      </c>
      <c r="W234">
        <v>4.9</v>
      </c>
    </row>
    <row r="235" spans="1:23">
      <c r="A235" t="s">
        <v>412</v>
      </c>
      <c r="B235" s="2">
        <v>45805</v>
      </c>
      <c r="C235" t="s">
        <v>37</v>
      </c>
      <c r="D235" t="s">
        <v>150</v>
      </c>
      <c r="E235" t="s">
        <v>29</v>
      </c>
      <c r="F235" t="s">
        <v>183</v>
      </c>
      <c r="G235" t="s">
        <v>76</v>
      </c>
      <c r="H235" t="s">
        <v>27</v>
      </c>
      <c r="I235" t="s">
        <v>162</v>
      </c>
      <c r="J235">
        <v>12</v>
      </c>
      <c r="K235" s="3">
        <v>20140</v>
      </c>
      <c r="L235" s="3">
        <v>241680</v>
      </c>
      <c r="M235" s="3">
        <v>151200</v>
      </c>
      <c r="N235" s="3">
        <v>90480</v>
      </c>
      <c r="O235" s="4">
        <v>0.374379344587885</v>
      </c>
      <c r="P235" t="s">
        <v>101</v>
      </c>
      <c r="Q235" t="s">
        <v>153</v>
      </c>
      <c r="R235" s="3">
        <v>262000</v>
      </c>
      <c r="S235" s="4">
        <v>0.922442748091603</v>
      </c>
      <c r="T235" s="4">
        <v>0.151190023100652</v>
      </c>
      <c r="U235" t="s">
        <v>116</v>
      </c>
      <c r="V235" s="4">
        <v>0</v>
      </c>
      <c r="W235">
        <v>4.1</v>
      </c>
    </row>
    <row r="236" spans="1:23">
      <c r="A236" t="s">
        <v>413</v>
      </c>
      <c r="B236" s="2">
        <v>45960</v>
      </c>
      <c r="C236" t="s">
        <v>42</v>
      </c>
      <c r="D236" t="s">
        <v>145</v>
      </c>
      <c r="E236" t="s">
        <v>29</v>
      </c>
      <c r="F236" t="s">
        <v>151</v>
      </c>
      <c r="G236" t="s">
        <v>76</v>
      </c>
      <c r="H236" t="s">
        <v>27</v>
      </c>
      <c r="I236" t="s">
        <v>148</v>
      </c>
      <c r="J236">
        <v>6</v>
      </c>
      <c r="K236" s="3">
        <v>21700</v>
      </c>
      <c r="L236" s="3">
        <v>130200</v>
      </c>
      <c r="M236" s="3">
        <v>83400</v>
      </c>
      <c r="N236" s="3">
        <v>46800</v>
      </c>
      <c r="O236" s="4">
        <v>0.359447004608295</v>
      </c>
      <c r="P236" t="s">
        <v>101</v>
      </c>
      <c r="Q236" t="s">
        <v>104</v>
      </c>
      <c r="R236" s="3">
        <v>117500</v>
      </c>
      <c r="S236" s="4">
        <v>1.10808510638298</v>
      </c>
      <c r="T236" s="4">
        <v>0.0537109241500935</v>
      </c>
      <c r="U236" t="s">
        <v>116</v>
      </c>
      <c r="V236" s="4">
        <v>0</v>
      </c>
      <c r="W236">
        <v>3.5</v>
      </c>
    </row>
    <row r="237" spans="1:23">
      <c r="A237" t="s">
        <v>414</v>
      </c>
      <c r="B237" s="2">
        <v>45700</v>
      </c>
      <c r="C237" t="s">
        <v>34</v>
      </c>
      <c r="D237" t="s">
        <v>159</v>
      </c>
      <c r="E237" t="s">
        <v>28</v>
      </c>
      <c r="F237" t="s">
        <v>177</v>
      </c>
      <c r="G237" t="s">
        <v>168</v>
      </c>
      <c r="H237" t="s">
        <v>4</v>
      </c>
      <c r="I237" t="s">
        <v>189</v>
      </c>
      <c r="J237">
        <v>11</v>
      </c>
      <c r="K237" s="3">
        <v>16550</v>
      </c>
      <c r="L237" s="3">
        <v>182050</v>
      </c>
      <c r="M237" s="3">
        <v>114400</v>
      </c>
      <c r="N237" s="3">
        <v>67650</v>
      </c>
      <c r="O237" s="4">
        <v>0.371601208459215</v>
      </c>
      <c r="P237" t="s">
        <v>101</v>
      </c>
      <c r="Q237" t="s">
        <v>153</v>
      </c>
      <c r="R237" s="3">
        <v>178400</v>
      </c>
      <c r="S237" s="4">
        <v>1.02045964125561</v>
      </c>
      <c r="T237" s="4">
        <v>-0.0121118898915695</v>
      </c>
      <c r="U237" t="s">
        <v>116</v>
      </c>
      <c r="V237" s="4">
        <v>0</v>
      </c>
      <c r="W237">
        <v>4.9</v>
      </c>
    </row>
    <row r="238" spans="1:23">
      <c r="A238" t="s">
        <v>415</v>
      </c>
      <c r="B238" s="2">
        <v>45740</v>
      </c>
      <c r="C238" t="s">
        <v>35</v>
      </c>
      <c r="D238" t="s">
        <v>159</v>
      </c>
      <c r="E238" t="s">
        <v>29</v>
      </c>
      <c r="F238" t="s">
        <v>183</v>
      </c>
      <c r="G238" t="s">
        <v>164</v>
      </c>
      <c r="H238" t="s">
        <v>27</v>
      </c>
      <c r="I238" t="s">
        <v>162</v>
      </c>
      <c r="J238">
        <v>2</v>
      </c>
      <c r="K238" s="3">
        <v>19530</v>
      </c>
      <c r="L238" s="3">
        <v>39060</v>
      </c>
      <c r="M238" s="3">
        <v>25200</v>
      </c>
      <c r="N238" s="3">
        <v>13860</v>
      </c>
      <c r="O238" s="4">
        <v>0.354838709677419</v>
      </c>
      <c r="P238" t="s">
        <v>101</v>
      </c>
      <c r="Q238" t="s">
        <v>104</v>
      </c>
      <c r="R238" s="3">
        <v>37100</v>
      </c>
      <c r="S238" s="4">
        <v>1.05283018867925</v>
      </c>
      <c r="T238" s="4">
        <v>0.133384951453101</v>
      </c>
      <c r="U238" t="s">
        <v>116</v>
      </c>
      <c r="V238" s="4">
        <v>0</v>
      </c>
      <c r="W238">
        <v>3.8</v>
      </c>
    </row>
    <row r="239" spans="1:23">
      <c r="A239" t="s">
        <v>416</v>
      </c>
      <c r="B239" s="2">
        <v>45983</v>
      </c>
      <c r="C239" t="s">
        <v>43</v>
      </c>
      <c r="D239" t="s">
        <v>145</v>
      </c>
      <c r="E239" t="s">
        <v>26</v>
      </c>
      <c r="F239" t="s">
        <v>146</v>
      </c>
      <c r="G239" t="s">
        <v>147</v>
      </c>
      <c r="H239" t="s">
        <v>4</v>
      </c>
      <c r="I239" t="s">
        <v>184</v>
      </c>
      <c r="J239">
        <v>1</v>
      </c>
      <c r="K239" s="3">
        <v>13520</v>
      </c>
      <c r="L239" s="3">
        <v>13520</v>
      </c>
      <c r="M239" s="3">
        <v>8250</v>
      </c>
      <c r="N239" s="3">
        <v>5270</v>
      </c>
      <c r="O239" s="4">
        <v>0.389792899408284</v>
      </c>
      <c r="P239" t="s">
        <v>101</v>
      </c>
      <c r="Q239" t="s">
        <v>153</v>
      </c>
      <c r="R239" s="3">
        <v>14000</v>
      </c>
      <c r="S239" s="4">
        <v>0.965714285714286</v>
      </c>
      <c r="T239" s="4">
        <v>-0.0555353403014887</v>
      </c>
      <c r="U239" t="s">
        <v>116</v>
      </c>
      <c r="V239" s="4">
        <v>0.03</v>
      </c>
      <c r="W239">
        <v>3.9</v>
      </c>
    </row>
    <row r="240" spans="1:23">
      <c r="A240" t="s">
        <v>417</v>
      </c>
      <c r="B240" s="2">
        <v>46001</v>
      </c>
      <c r="C240" t="s">
        <v>44</v>
      </c>
      <c r="D240" t="s">
        <v>145</v>
      </c>
      <c r="E240" t="s">
        <v>29</v>
      </c>
      <c r="F240" t="s">
        <v>73</v>
      </c>
      <c r="G240" t="s">
        <v>164</v>
      </c>
      <c r="H240" t="s">
        <v>30</v>
      </c>
      <c r="I240" t="s">
        <v>169</v>
      </c>
      <c r="J240">
        <v>2</v>
      </c>
      <c r="K240" s="3">
        <v>3840</v>
      </c>
      <c r="L240" s="3">
        <v>7680</v>
      </c>
      <c r="M240" s="3">
        <v>3520</v>
      </c>
      <c r="N240" s="3">
        <v>4160</v>
      </c>
      <c r="O240" s="4">
        <v>0.541666666666667</v>
      </c>
      <c r="P240" t="s">
        <v>101</v>
      </c>
      <c r="Q240" t="s">
        <v>104</v>
      </c>
      <c r="R240" s="3">
        <v>8700</v>
      </c>
      <c r="S240" s="4">
        <v>0.882758620689655</v>
      </c>
      <c r="T240" s="4">
        <v>0.101342352299703</v>
      </c>
      <c r="U240" t="s">
        <v>116</v>
      </c>
      <c r="V240" s="4">
        <v>0</v>
      </c>
      <c r="W240">
        <v>4.8</v>
      </c>
    </row>
    <row r="241" spans="1:23">
      <c r="A241" t="s">
        <v>418</v>
      </c>
      <c r="B241" s="2">
        <v>45983</v>
      </c>
      <c r="C241" t="s">
        <v>43</v>
      </c>
      <c r="D241" t="s">
        <v>145</v>
      </c>
      <c r="E241" t="s">
        <v>29</v>
      </c>
      <c r="F241" t="s">
        <v>183</v>
      </c>
      <c r="G241" t="s">
        <v>164</v>
      </c>
      <c r="H241" t="s">
        <v>25</v>
      </c>
      <c r="I241" t="s">
        <v>152</v>
      </c>
      <c r="J241">
        <v>8</v>
      </c>
      <c r="K241" s="3">
        <v>25700</v>
      </c>
      <c r="L241" s="3">
        <v>205600</v>
      </c>
      <c r="M241" s="3">
        <v>147200</v>
      </c>
      <c r="N241" s="3">
        <v>58400</v>
      </c>
      <c r="O241" s="4">
        <v>0.284046692607004</v>
      </c>
      <c r="P241" t="s">
        <v>101</v>
      </c>
      <c r="Q241" t="s">
        <v>153</v>
      </c>
      <c r="R241" s="3">
        <v>216900</v>
      </c>
      <c r="S241" s="4">
        <v>0.947902259105579</v>
      </c>
      <c r="T241" s="4">
        <v>-0.0199838309799352</v>
      </c>
      <c r="U241" t="s">
        <v>116</v>
      </c>
      <c r="V241" s="4">
        <v>0.03</v>
      </c>
      <c r="W241">
        <v>4.4</v>
      </c>
    </row>
    <row r="242" spans="1:23">
      <c r="A242" t="s">
        <v>419</v>
      </c>
      <c r="B242" s="2">
        <v>46006</v>
      </c>
      <c r="C242" t="s">
        <v>44</v>
      </c>
      <c r="D242" t="s">
        <v>145</v>
      </c>
      <c r="E242" t="s">
        <v>24</v>
      </c>
      <c r="F242" t="s">
        <v>179</v>
      </c>
      <c r="G242" t="s">
        <v>180</v>
      </c>
      <c r="H242" t="s">
        <v>25</v>
      </c>
      <c r="I242" t="s">
        <v>207</v>
      </c>
      <c r="J242">
        <v>16</v>
      </c>
      <c r="K242" s="3">
        <v>64300</v>
      </c>
      <c r="L242" s="3">
        <v>1028800</v>
      </c>
      <c r="M242" s="3">
        <v>840000</v>
      </c>
      <c r="N242" s="3">
        <v>188800</v>
      </c>
      <c r="O242" s="4">
        <v>0.183514774494557</v>
      </c>
      <c r="P242" t="s">
        <v>165</v>
      </c>
      <c r="Q242" t="s">
        <v>104</v>
      </c>
      <c r="R242" s="3">
        <v>1171700</v>
      </c>
      <c r="S242" s="4">
        <v>0.878040454041137</v>
      </c>
      <c r="T242" s="4">
        <v>0.101551327348072</v>
      </c>
      <c r="U242" t="s">
        <v>211</v>
      </c>
      <c r="V242" s="4">
        <v>0.08</v>
      </c>
      <c r="W242">
        <v>4</v>
      </c>
    </row>
    <row r="243" spans="1:23">
      <c r="A243" t="s">
        <v>420</v>
      </c>
      <c r="B243" s="2">
        <v>45800</v>
      </c>
      <c r="C243" t="s">
        <v>37</v>
      </c>
      <c r="D243" t="s">
        <v>150</v>
      </c>
      <c r="E243" t="s">
        <v>28</v>
      </c>
      <c r="F243" t="s">
        <v>155</v>
      </c>
      <c r="G243" t="s">
        <v>156</v>
      </c>
      <c r="H243" t="s">
        <v>30</v>
      </c>
      <c r="I243" t="s">
        <v>169</v>
      </c>
      <c r="J243">
        <v>16</v>
      </c>
      <c r="K243" s="3">
        <v>3880</v>
      </c>
      <c r="L243" s="3">
        <v>62080</v>
      </c>
      <c r="M243" s="3">
        <v>28160</v>
      </c>
      <c r="N243" s="3">
        <v>33920</v>
      </c>
      <c r="O243" s="4">
        <v>0.54639175257732</v>
      </c>
      <c r="P243" t="s">
        <v>101</v>
      </c>
      <c r="Q243" t="s">
        <v>153</v>
      </c>
      <c r="R243" s="3">
        <v>65700</v>
      </c>
      <c r="S243" s="4">
        <v>0.944901065449011</v>
      </c>
      <c r="T243" s="4">
        <v>0.0291853294894332</v>
      </c>
      <c r="U243" t="s">
        <v>116</v>
      </c>
      <c r="V243" s="4">
        <v>0.05</v>
      </c>
      <c r="W243">
        <v>4.6</v>
      </c>
    </row>
    <row r="244" spans="1:23">
      <c r="A244" t="s">
        <v>421</v>
      </c>
      <c r="B244" s="2">
        <v>45724</v>
      </c>
      <c r="C244" t="s">
        <v>35</v>
      </c>
      <c r="D244" t="s">
        <v>159</v>
      </c>
      <c r="E244" t="s">
        <v>28</v>
      </c>
      <c r="F244" t="s">
        <v>177</v>
      </c>
      <c r="G244" t="s">
        <v>168</v>
      </c>
      <c r="H244" t="s">
        <v>25</v>
      </c>
      <c r="I244" t="s">
        <v>152</v>
      </c>
      <c r="J244">
        <v>7</v>
      </c>
      <c r="K244" s="3">
        <v>25580</v>
      </c>
      <c r="L244" s="3">
        <v>179060</v>
      </c>
      <c r="M244" s="3">
        <v>128800</v>
      </c>
      <c r="N244" s="3">
        <v>50260</v>
      </c>
      <c r="O244" s="4">
        <v>0.28068803752932</v>
      </c>
      <c r="P244" t="s">
        <v>101</v>
      </c>
      <c r="Q244" t="s">
        <v>153</v>
      </c>
      <c r="R244" s="3">
        <v>189300</v>
      </c>
      <c r="S244" s="4">
        <v>0.945905969360803</v>
      </c>
      <c r="T244" s="4">
        <v>0.164765832257709</v>
      </c>
      <c r="U244" t="s">
        <v>116</v>
      </c>
      <c r="V244" s="4">
        <v>0.03</v>
      </c>
      <c r="W244">
        <v>4.5</v>
      </c>
    </row>
    <row r="245" spans="1:23">
      <c r="A245" t="s">
        <v>422</v>
      </c>
      <c r="B245" s="2">
        <v>45892</v>
      </c>
      <c r="C245" t="s">
        <v>40</v>
      </c>
      <c r="D245" t="s">
        <v>69</v>
      </c>
      <c r="E245" t="s">
        <v>29</v>
      </c>
      <c r="F245" t="s">
        <v>151</v>
      </c>
      <c r="G245" t="s">
        <v>76</v>
      </c>
      <c r="H245" t="s">
        <v>30</v>
      </c>
      <c r="I245" t="s">
        <v>81</v>
      </c>
      <c r="J245">
        <v>14</v>
      </c>
      <c r="K245" s="3">
        <v>2020</v>
      </c>
      <c r="L245" s="3">
        <v>28280</v>
      </c>
      <c r="M245" s="3">
        <v>13020</v>
      </c>
      <c r="N245" s="3">
        <v>15260</v>
      </c>
      <c r="O245" s="4">
        <v>0.53960396039604</v>
      </c>
      <c r="P245" t="s">
        <v>101</v>
      </c>
      <c r="Q245" t="s">
        <v>153</v>
      </c>
      <c r="R245" s="3">
        <v>32600</v>
      </c>
      <c r="S245" s="4">
        <v>0.867484662576687</v>
      </c>
      <c r="T245" s="4">
        <v>-0.0598897875841344</v>
      </c>
      <c r="U245" t="s">
        <v>116</v>
      </c>
      <c r="V245" s="4">
        <v>0.03</v>
      </c>
      <c r="W245">
        <v>4.2</v>
      </c>
    </row>
    <row r="246" spans="1:23">
      <c r="A246" t="s">
        <v>423</v>
      </c>
      <c r="B246" s="2">
        <v>45938</v>
      </c>
      <c r="C246" t="s">
        <v>42</v>
      </c>
      <c r="D246" t="s">
        <v>145</v>
      </c>
      <c r="E246" t="s">
        <v>29</v>
      </c>
      <c r="F246" t="s">
        <v>151</v>
      </c>
      <c r="G246" t="s">
        <v>76</v>
      </c>
      <c r="H246" t="s">
        <v>4</v>
      </c>
      <c r="I246" t="s">
        <v>184</v>
      </c>
      <c r="J246">
        <v>7</v>
      </c>
      <c r="K246" s="3">
        <v>12800</v>
      </c>
      <c r="L246" s="3">
        <v>89600</v>
      </c>
      <c r="M246" s="3">
        <v>57750</v>
      </c>
      <c r="N246" s="3">
        <v>31850</v>
      </c>
      <c r="O246" s="4">
        <v>0.35546875</v>
      </c>
      <c r="P246" t="s">
        <v>101</v>
      </c>
      <c r="Q246" t="s">
        <v>104</v>
      </c>
      <c r="R246" s="3">
        <v>85900</v>
      </c>
      <c r="S246" s="4">
        <v>1.0430733410943</v>
      </c>
      <c r="T246" s="4">
        <v>0.16288107119403</v>
      </c>
      <c r="U246" t="s">
        <v>116</v>
      </c>
      <c r="V246" s="4">
        <v>0.05</v>
      </c>
      <c r="W246">
        <v>5</v>
      </c>
    </row>
    <row r="247" spans="1:23">
      <c r="A247" t="s">
        <v>424</v>
      </c>
      <c r="B247" s="2">
        <v>45940</v>
      </c>
      <c r="C247" t="s">
        <v>42</v>
      </c>
      <c r="D247" t="s">
        <v>145</v>
      </c>
      <c r="E247" t="s">
        <v>24</v>
      </c>
      <c r="F247" t="s">
        <v>179</v>
      </c>
      <c r="G247" t="s">
        <v>180</v>
      </c>
      <c r="H247" t="s">
        <v>27</v>
      </c>
      <c r="I247" t="s">
        <v>162</v>
      </c>
      <c r="J247">
        <v>13</v>
      </c>
      <c r="K247" s="3">
        <v>18650</v>
      </c>
      <c r="L247" s="3">
        <v>242450</v>
      </c>
      <c r="M247" s="3">
        <v>163800</v>
      </c>
      <c r="N247" s="3">
        <v>78650</v>
      </c>
      <c r="O247" s="4">
        <v>0.324396782841823</v>
      </c>
      <c r="P247" t="s">
        <v>165</v>
      </c>
      <c r="Q247" t="s">
        <v>153</v>
      </c>
      <c r="R247" s="3">
        <v>225000</v>
      </c>
      <c r="S247" s="4">
        <v>1.07755555555556</v>
      </c>
      <c r="T247" s="4">
        <v>0.190199638463987</v>
      </c>
      <c r="U247" t="s">
        <v>116</v>
      </c>
      <c r="V247" s="4">
        <v>0.08</v>
      </c>
      <c r="W247">
        <v>4.8</v>
      </c>
    </row>
    <row r="248" spans="1:23">
      <c r="A248" t="s">
        <v>425</v>
      </c>
      <c r="B248" s="2">
        <v>45929</v>
      </c>
      <c r="C248" t="s">
        <v>41</v>
      </c>
      <c r="D248" t="s">
        <v>69</v>
      </c>
      <c r="E248" t="s">
        <v>29</v>
      </c>
      <c r="F248" t="s">
        <v>183</v>
      </c>
      <c r="G248" t="s">
        <v>164</v>
      </c>
      <c r="H248" t="s">
        <v>30</v>
      </c>
      <c r="I248" t="s">
        <v>81</v>
      </c>
      <c r="J248">
        <v>13</v>
      </c>
      <c r="K248" s="3">
        <v>1980</v>
      </c>
      <c r="L248" s="3">
        <v>25740</v>
      </c>
      <c r="M248" s="3">
        <v>12090</v>
      </c>
      <c r="N248" s="3">
        <v>13650</v>
      </c>
      <c r="O248" s="4">
        <v>0.53030303030303</v>
      </c>
      <c r="P248" t="s">
        <v>101</v>
      </c>
      <c r="Q248" t="s">
        <v>153</v>
      </c>
      <c r="R248" s="3">
        <v>24600</v>
      </c>
      <c r="S248" s="4">
        <v>1.04634146341463</v>
      </c>
      <c r="T248" s="4">
        <v>0.189137794756911</v>
      </c>
      <c r="U248" t="s">
        <v>116</v>
      </c>
      <c r="V248" s="4">
        <v>0.08</v>
      </c>
      <c r="W248">
        <v>3.9</v>
      </c>
    </row>
    <row r="249" spans="1:23">
      <c r="A249" t="s">
        <v>426</v>
      </c>
      <c r="B249" s="2">
        <v>45858</v>
      </c>
      <c r="C249" t="s">
        <v>39</v>
      </c>
      <c r="D249" t="s">
        <v>69</v>
      </c>
      <c r="E249" t="s">
        <v>28</v>
      </c>
      <c r="F249" t="s">
        <v>155</v>
      </c>
      <c r="G249" t="s">
        <v>156</v>
      </c>
      <c r="H249" t="s">
        <v>30</v>
      </c>
      <c r="I249" t="s">
        <v>216</v>
      </c>
      <c r="J249">
        <v>2</v>
      </c>
      <c r="K249" s="3">
        <v>5780</v>
      </c>
      <c r="L249" s="3">
        <v>11560</v>
      </c>
      <c r="M249" s="3">
        <v>5840</v>
      </c>
      <c r="N249" s="3">
        <v>5720</v>
      </c>
      <c r="O249" s="4">
        <v>0.494809688581315</v>
      </c>
      <c r="P249" t="s">
        <v>165</v>
      </c>
      <c r="Q249" t="s">
        <v>104</v>
      </c>
      <c r="R249" s="3">
        <v>12200</v>
      </c>
      <c r="S249" s="4">
        <v>0.947540983606557</v>
      </c>
      <c r="T249" s="4">
        <v>-0.0192830277648578</v>
      </c>
      <c r="U249" t="s">
        <v>116</v>
      </c>
      <c r="V249" s="4">
        <v>0</v>
      </c>
      <c r="W249">
        <v>4.7</v>
      </c>
    </row>
    <row r="250" spans="1:23">
      <c r="A250" t="s">
        <v>427</v>
      </c>
      <c r="B250" s="2">
        <v>45892</v>
      </c>
      <c r="C250" t="s">
        <v>40</v>
      </c>
      <c r="D250" t="s">
        <v>69</v>
      </c>
      <c r="E250" t="s">
        <v>24</v>
      </c>
      <c r="F250" t="s">
        <v>179</v>
      </c>
      <c r="G250" t="s">
        <v>180</v>
      </c>
      <c r="H250" t="s">
        <v>27</v>
      </c>
      <c r="I250" t="s">
        <v>162</v>
      </c>
      <c r="J250">
        <v>8</v>
      </c>
      <c r="K250" s="3">
        <v>19000</v>
      </c>
      <c r="L250" s="3">
        <v>152000</v>
      </c>
      <c r="M250" s="3">
        <v>100800</v>
      </c>
      <c r="N250" s="3">
        <v>51200</v>
      </c>
      <c r="O250" s="4">
        <v>0.336842105263158</v>
      </c>
      <c r="P250" t="s">
        <v>165</v>
      </c>
      <c r="Q250" t="s">
        <v>104</v>
      </c>
      <c r="R250" s="3">
        <v>166200</v>
      </c>
      <c r="S250" s="4">
        <v>0.914560770156438</v>
      </c>
      <c r="T250" s="4">
        <v>0.013353944927091</v>
      </c>
      <c r="U250" t="s">
        <v>116</v>
      </c>
      <c r="V250" s="4">
        <v>0</v>
      </c>
      <c r="W250">
        <v>4.9</v>
      </c>
    </row>
    <row r="251" spans="1:23">
      <c r="A251" t="s">
        <v>428</v>
      </c>
      <c r="B251" s="2">
        <v>45673</v>
      </c>
      <c r="C251" t="s">
        <v>33</v>
      </c>
      <c r="D251" t="s">
        <v>159</v>
      </c>
      <c r="E251" t="s">
        <v>29</v>
      </c>
      <c r="F251" t="s">
        <v>73</v>
      </c>
      <c r="G251" t="s">
        <v>164</v>
      </c>
      <c r="H251" t="s">
        <v>27</v>
      </c>
      <c r="I251" t="s">
        <v>162</v>
      </c>
      <c r="J251">
        <v>9</v>
      </c>
      <c r="K251" s="3">
        <v>18560</v>
      </c>
      <c r="L251" s="3">
        <v>167040</v>
      </c>
      <c r="M251" s="3">
        <v>113400</v>
      </c>
      <c r="N251" s="3">
        <v>53640</v>
      </c>
      <c r="O251" s="4">
        <v>0.321120689655172</v>
      </c>
      <c r="P251" t="s">
        <v>165</v>
      </c>
      <c r="Q251" t="s">
        <v>153</v>
      </c>
      <c r="R251" s="3">
        <v>188200</v>
      </c>
      <c r="S251" s="4">
        <v>0.887566418703507</v>
      </c>
      <c r="T251" s="4">
        <v>-0.066071481465705</v>
      </c>
      <c r="U251" t="s">
        <v>116</v>
      </c>
      <c r="V251" s="4">
        <v>0.05</v>
      </c>
      <c r="W251">
        <v>4</v>
      </c>
    </row>
    <row r="252" spans="1:23">
      <c r="A252" t="s">
        <v>429</v>
      </c>
      <c r="B252" s="2">
        <v>45839</v>
      </c>
      <c r="C252" t="s">
        <v>39</v>
      </c>
      <c r="D252" t="s">
        <v>69</v>
      </c>
      <c r="E252" t="s">
        <v>29</v>
      </c>
      <c r="F252" t="s">
        <v>73</v>
      </c>
      <c r="G252" t="s">
        <v>164</v>
      </c>
      <c r="H252" t="s">
        <v>25</v>
      </c>
      <c r="I252" t="s">
        <v>152</v>
      </c>
      <c r="J252">
        <v>8</v>
      </c>
      <c r="K252" s="3">
        <v>24900</v>
      </c>
      <c r="L252" s="3">
        <v>199200</v>
      </c>
      <c r="M252" s="3">
        <v>147200</v>
      </c>
      <c r="N252" s="3">
        <v>52000</v>
      </c>
      <c r="O252" s="4">
        <v>0.261044176706827</v>
      </c>
      <c r="P252" t="s">
        <v>101</v>
      </c>
      <c r="Q252" t="s">
        <v>104</v>
      </c>
      <c r="R252" s="3">
        <v>188000</v>
      </c>
      <c r="S252" s="4">
        <v>1.05957446808511</v>
      </c>
      <c r="T252" s="4">
        <v>-0.0651472379492405</v>
      </c>
      <c r="U252" t="s">
        <v>116</v>
      </c>
      <c r="V252" s="4">
        <v>0.08</v>
      </c>
      <c r="W252">
        <v>4.1</v>
      </c>
    </row>
    <row r="253" spans="1:23">
      <c r="A253" t="s">
        <v>430</v>
      </c>
      <c r="B253" s="2">
        <v>45853</v>
      </c>
      <c r="C253" t="s">
        <v>39</v>
      </c>
      <c r="D253" t="s">
        <v>69</v>
      </c>
      <c r="E253" t="s">
        <v>29</v>
      </c>
      <c r="F253" t="s">
        <v>73</v>
      </c>
      <c r="G253" t="s">
        <v>76</v>
      </c>
      <c r="H253" t="s">
        <v>25</v>
      </c>
      <c r="I253" t="s">
        <v>218</v>
      </c>
      <c r="J253">
        <v>16</v>
      </c>
      <c r="K253" s="3">
        <v>29380</v>
      </c>
      <c r="L253" s="3">
        <v>470080</v>
      </c>
      <c r="M253" s="3">
        <v>364800</v>
      </c>
      <c r="N253" s="3">
        <v>105280</v>
      </c>
      <c r="O253" s="4">
        <v>0.223961878829135</v>
      </c>
      <c r="P253" t="s">
        <v>101</v>
      </c>
      <c r="Q253" t="s">
        <v>104</v>
      </c>
      <c r="R253" s="3">
        <v>499300</v>
      </c>
      <c r="S253" s="4">
        <v>0.941478069297016</v>
      </c>
      <c r="T253" s="4">
        <v>-0.0764384619966695</v>
      </c>
      <c r="U253" t="s">
        <v>116</v>
      </c>
      <c r="V253" s="4">
        <v>0.08</v>
      </c>
      <c r="W253">
        <v>4.1</v>
      </c>
    </row>
    <row r="254" spans="1:23">
      <c r="A254" t="s">
        <v>431</v>
      </c>
      <c r="B254" s="2">
        <v>45795</v>
      </c>
      <c r="C254" t="s">
        <v>37</v>
      </c>
      <c r="D254" t="s">
        <v>150</v>
      </c>
      <c r="E254" t="s">
        <v>29</v>
      </c>
      <c r="F254" t="s">
        <v>183</v>
      </c>
      <c r="G254" t="s">
        <v>76</v>
      </c>
      <c r="H254" t="s">
        <v>25</v>
      </c>
      <c r="I254" t="s">
        <v>207</v>
      </c>
      <c r="J254">
        <v>3</v>
      </c>
      <c r="K254" s="3">
        <v>73380</v>
      </c>
      <c r="L254" s="3">
        <v>220140</v>
      </c>
      <c r="M254" s="3">
        <v>157500</v>
      </c>
      <c r="N254" s="3">
        <v>62640</v>
      </c>
      <c r="O254" s="4">
        <v>0.28454619787408</v>
      </c>
      <c r="P254" t="s">
        <v>101</v>
      </c>
      <c r="Q254" t="s">
        <v>153</v>
      </c>
      <c r="R254" s="3">
        <v>227400</v>
      </c>
      <c r="S254" s="4">
        <v>0.968073878627968</v>
      </c>
      <c r="T254" s="4">
        <v>0.101569838175371</v>
      </c>
      <c r="U254" t="s">
        <v>116</v>
      </c>
      <c r="V254" s="4">
        <v>0</v>
      </c>
      <c r="W254">
        <v>4</v>
      </c>
    </row>
    <row r="255" spans="1:23">
      <c r="A255" t="s">
        <v>432</v>
      </c>
      <c r="B255" s="2">
        <v>45828</v>
      </c>
      <c r="C255" t="s">
        <v>38</v>
      </c>
      <c r="D255" t="s">
        <v>150</v>
      </c>
      <c r="E255" t="s">
        <v>28</v>
      </c>
      <c r="F255" t="s">
        <v>155</v>
      </c>
      <c r="G255" t="s">
        <v>168</v>
      </c>
      <c r="H255" t="s">
        <v>30</v>
      </c>
      <c r="I255" t="s">
        <v>81</v>
      </c>
      <c r="J255">
        <v>12</v>
      </c>
      <c r="K255" s="3">
        <v>2180</v>
      </c>
      <c r="L255" s="3">
        <v>26160</v>
      </c>
      <c r="M255" s="3">
        <v>11160</v>
      </c>
      <c r="N255" s="3">
        <v>15000</v>
      </c>
      <c r="O255" s="4">
        <v>0.573394495412844</v>
      </c>
      <c r="P255" t="s">
        <v>165</v>
      </c>
      <c r="Q255" t="s">
        <v>104</v>
      </c>
      <c r="R255" s="3">
        <v>24700</v>
      </c>
      <c r="S255" s="4">
        <v>1.05910931174089</v>
      </c>
      <c r="T255" s="4">
        <v>-0.0470666971621713</v>
      </c>
      <c r="U255" t="s">
        <v>116</v>
      </c>
      <c r="V255" s="4">
        <v>0</v>
      </c>
      <c r="W255">
        <v>3.5</v>
      </c>
    </row>
    <row r="256" spans="1:23">
      <c r="A256" t="s">
        <v>433</v>
      </c>
      <c r="B256" s="2">
        <v>45849</v>
      </c>
      <c r="C256" t="s">
        <v>39</v>
      </c>
      <c r="D256" t="s">
        <v>69</v>
      </c>
      <c r="E256" t="s">
        <v>29</v>
      </c>
      <c r="F256" t="s">
        <v>73</v>
      </c>
      <c r="G256" t="s">
        <v>164</v>
      </c>
      <c r="H256" t="s">
        <v>4</v>
      </c>
      <c r="I256" t="s">
        <v>189</v>
      </c>
      <c r="J256">
        <v>8</v>
      </c>
      <c r="K256" s="3">
        <v>17090</v>
      </c>
      <c r="L256" s="3">
        <v>136720</v>
      </c>
      <c r="M256" s="3">
        <v>83200</v>
      </c>
      <c r="N256" s="3">
        <v>53520</v>
      </c>
      <c r="O256" s="4">
        <v>0.391456992393212</v>
      </c>
      <c r="P256" t="s">
        <v>101</v>
      </c>
      <c r="Q256" t="s">
        <v>153</v>
      </c>
      <c r="R256" s="3">
        <v>145400</v>
      </c>
      <c r="S256" s="4">
        <v>0.940302613480055</v>
      </c>
      <c r="T256" s="4">
        <v>0.0166160521280862</v>
      </c>
      <c r="U256" t="s">
        <v>116</v>
      </c>
      <c r="V256" s="4">
        <v>0</v>
      </c>
      <c r="W256">
        <v>4.4</v>
      </c>
    </row>
    <row r="257" spans="1:23">
      <c r="A257" t="s">
        <v>434</v>
      </c>
      <c r="B257" s="2">
        <v>45921</v>
      </c>
      <c r="C257" t="s">
        <v>41</v>
      </c>
      <c r="D257" t="s">
        <v>69</v>
      </c>
      <c r="E257" t="s">
        <v>28</v>
      </c>
      <c r="F257" t="s">
        <v>167</v>
      </c>
      <c r="G257" t="s">
        <v>156</v>
      </c>
      <c r="H257" t="s">
        <v>4</v>
      </c>
      <c r="I257" t="s">
        <v>172</v>
      </c>
      <c r="J257">
        <v>4</v>
      </c>
      <c r="K257" s="3">
        <v>11790</v>
      </c>
      <c r="L257" s="3">
        <v>47160</v>
      </c>
      <c r="M257" s="3">
        <v>28400</v>
      </c>
      <c r="N257" s="3">
        <v>18760</v>
      </c>
      <c r="O257" s="4">
        <v>0.397794741306192</v>
      </c>
      <c r="P257" t="s">
        <v>101</v>
      </c>
      <c r="Q257" t="s">
        <v>104</v>
      </c>
      <c r="R257" s="3">
        <v>50600</v>
      </c>
      <c r="S257" s="4">
        <v>0.93201581027668</v>
      </c>
      <c r="T257" s="4">
        <v>0.102356836465163</v>
      </c>
      <c r="U257" t="s">
        <v>116</v>
      </c>
      <c r="V257" s="4">
        <v>0</v>
      </c>
      <c r="W257">
        <v>4.1</v>
      </c>
    </row>
    <row r="258" spans="1:23">
      <c r="A258" t="s">
        <v>435</v>
      </c>
      <c r="B258" s="2">
        <v>45658</v>
      </c>
      <c r="C258" t="s">
        <v>33</v>
      </c>
      <c r="D258" t="s">
        <v>159</v>
      </c>
      <c r="E258" t="s">
        <v>24</v>
      </c>
      <c r="F258" t="s">
        <v>179</v>
      </c>
      <c r="G258" t="s">
        <v>180</v>
      </c>
      <c r="H258" t="s">
        <v>25</v>
      </c>
      <c r="I258" t="s">
        <v>218</v>
      </c>
      <c r="J258">
        <v>8</v>
      </c>
      <c r="K258" s="3">
        <v>33050</v>
      </c>
      <c r="L258" s="3">
        <v>264400</v>
      </c>
      <c r="M258" s="3">
        <v>182400</v>
      </c>
      <c r="N258" s="3">
        <v>82000</v>
      </c>
      <c r="O258" s="4">
        <v>0.310136157337368</v>
      </c>
      <c r="P258" t="s">
        <v>101</v>
      </c>
      <c r="Q258" t="s">
        <v>153</v>
      </c>
      <c r="R258" s="3">
        <v>272500</v>
      </c>
      <c r="S258" s="4">
        <v>0.970275229357798</v>
      </c>
      <c r="T258" s="4">
        <v>0.020420592795194</v>
      </c>
      <c r="U258" t="s">
        <v>116</v>
      </c>
      <c r="V258" s="4">
        <v>0</v>
      </c>
      <c r="W258">
        <v>4.4</v>
      </c>
    </row>
    <row r="259" spans="1:23">
      <c r="A259" t="s">
        <v>436</v>
      </c>
      <c r="B259" s="2">
        <v>45997</v>
      </c>
      <c r="C259" t="s">
        <v>44</v>
      </c>
      <c r="D259" t="s">
        <v>145</v>
      </c>
      <c r="E259" t="s">
        <v>26</v>
      </c>
      <c r="F259" t="s">
        <v>171</v>
      </c>
      <c r="G259" t="s">
        <v>147</v>
      </c>
      <c r="H259" t="s">
        <v>25</v>
      </c>
      <c r="I259" t="s">
        <v>152</v>
      </c>
      <c r="J259">
        <v>15</v>
      </c>
      <c r="K259" s="3">
        <v>25730</v>
      </c>
      <c r="L259" s="3">
        <v>385950</v>
      </c>
      <c r="M259" s="3">
        <v>276000</v>
      </c>
      <c r="N259" s="3">
        <v>109950</v>
      </c>
      <c r="O259" s="4">
        <v>0.284881461329188</v>
      </c>
      <c r="P259" t="s">
        <v>101</v>
      </c>
      <c r="Q259" t="s">
        <v>153</v>
      </c>
      <c r="R259" s="3">
        <v>419300</v>
      </c>
      <c r="S259" s="4">
        <v>0.920462675888385</v>
      </c>
      <c r="T259" s="4">
        <v>0.0875254412698779</v>
      </c>
      <c r="U259" t="s">
        <v>116</v>
      </c>
      <c r="V259" s="4">
        <v>0.03</v>
      </c>
      <c r="W259">
        <v>4.3</v>
      </c>
    </row>
    <row r="260" spans="1:23">
      <c r="A260" t="s">
        <v>437</v>
      </c>
      <c r="B260" s="2">
        <v>45711</v>
      </c>
      <c r="C260" t="s">
        <v>34</v>
      </c>
      <c r="D260" t="s">
        <v>159</v>
      </c>
      <c r="E260" t="s">
        <v>29</v>
      </c>
      <c r="F260" t="s">
        <v>183</v>
      </c>
      <c r="G260" t="s">
        <v>76</v>
      </c>
      <c r="H260" t="s">
        <v>30</v>
      </c>
      <c r="I260" t="s">
        <v>81</v>
      </c>
      <c r="J260">
        <v>1</v>
      </c>
      <c r="K260" s="3">
        <v>1890</v>
      </c>
      <c r="L260" s="3">
        <v>1890</v>
      </c>
      <c r="M260" s="3">
        <v>930</v>
      </c>
      <c r="N260" s="3">
        <v>960</v>
      </c>
      <c r="O260" s="4">
        <v>0.507936507936508</v>
      </c>
      <c r="P260" t="s">
        <v>101</v>
      </c>
      <c r="Q260" t="s">
        <v>153</v>
      </c>
      <c r="R260" s="3">
        <v>1900</v>
      </c>
      <c r="S260" s="4">
        <v>0.994736842105263</v>
      </c>
      <c r="T260" s="4">
        <v>-0.0784886620736368</v>
      </c>
      <c r="U260" t="s">
        <v>116</v>
      </c>
      <c r="V260" s="4">
        <v>0.08</v>
      </c>
      <c r="W260">
        <v>4.6</v>
      </c>
    </row>
    <row r="261" spans="1:23">
      <c r="A261" t="s">
        <v>438</v>
      </c>
      <c r="B261" s="2">
        <v>45711</v>
      </c>
      <c r="C261" t="s">
        <v>34</v>
      </c>
      <c r="D261" t="s">
        <v>159</v>
      </c>
      <c r="E261" t="s">
        <v>26</v>
      </c>
      <c r="F261" t="s">
        <v>171</v>
      </c>
      <c r="G261" t="s">
        <v>147</v>
      </c>
      <c r="H261" t="s">
        <v>27</v>
      </c>
      <c r="I261" t="s">
        <v>162</v>
      </c>
      <c r="J261">
        <v>10</v>
      </c>
      <c r="K261" s="3">
        <v>17960</v>
      </c>
      <c r="L261" s="3">
        <v>179600</v>
      </c>
      <c r="M261" s="3">
        <v>126000</v>
      </c>
      <c r="N261" s="3">
        <v>53600</v>
      </c>
      <c r="O261" s="4">
        <v>0.298440979955457</v>
      </c>
      <c r="P261" t="s">
        <v>165</v>
      </c>
      <c r="Q261" t="s">
        <v>153</v>
      </c>
      <c r="R261" s="3">
        <v>181300</v>
      </c>
      <c r="S261" s="4">
        <v>0.990623276337562</v>
      </c>
      <c r="T261" s="4">
        <v>0.0401780865937759</v>
      </c>
      <c r="U261" t="s">
        <v>116</v>
      </c>
      <c r="V261" s="4">
        <v>0.08</v>
      </c>
      <c r="W261">
        <v>4</v>
      </c>
    </row>
    <row r="262" spans="1:23">
      <c r="A262" t="s">
        <v>439</v>
      </c>
      <c r="B262" s="2">
        <v>45954</v>
      </c>
      <c r="C262" t="s">
        <v>42</v>
      </c>
      <c r="D262" t="s">
        <v>145</v>
      </c>
      <c r="E262" t="s">
        <v>26</v>
      </c>
      <c r="F262" t="s">
        <v>146</v>
      </c>
      <c r="G262" t="s">
        <v>175</v>
      </c>
      <c r="H262" t="s">
        <v>30</v>
      </c>
      <c r="I262" t="s">
        <v>169</v>
      </c>
      <c r="J262">
        <v>7</v>
      </c>
      <c r="K262" s="3">
        <v>3570</v>
      </c>
      <c r="L262" s="3">
        <v>24990</v>
      </c>
      <c r="M262" s="3">
        <v>12320</v>
      </c>
      <c r="N262" s="3">
        <v>12670</v>
      </c>
      <c r="O262" s="4">
        <v>0.507002801120448</v>
      </c>
      <c r="P262" t="s">
        <v>101</v>
      </c>
      <c r="Q262" t="s">
        <v>153</v>
      </c>
      <c r="R262" s="3">
        <v>26700</v>
      </c>
      <c r="S262" s="4">
        <v>0.935955056179775</v>
      </c>
      <c r="T262" s="4">
        <v>0.0810758103331069</v>
      </c>
      <c r="U262" t="s">
        <v>116</v>
      </c>
      <c r="V262" s="4">
        <v>0.08</v>
      </c>
      <c r="W262">
        <v>3.5</v>
      </c>
    </row>
    <row r="263" spans="1:23">
      <c r="A263" t="s">
        <v>440</v>
      </c>
      <c r="B263" s="2">
        <v>45814</v>
      </c>
      <c r="C263" t="s">
        <v>38</v>
      </c>
      <c r="D263" t="s">
        <v>150</v>
      </c>
      <c r="E263" t="s">
        <v>29</v>
      </c>
      <c r="F263" t="s">
        <v>73</v>
      </c>
      <c r="G263" t="s">
        <v>76</v>
      </c>
      <c r="H263" t="s">
        <v>4</v>
      </c>
      <c r="I263" t="s">
        <v>184</v>
      </c>
      <c r="J263">
        <v>6</v>
      </c>
      <c r="K263" s="3">
        <v>12510</v>
      </c>
      <c r="L263" s="3">
        <v>75060</v>
      </c>
      <c r="M263" s="3">
        <v>49500</v>
      </c>
      <c r="N263" s="3">
        <v>25560</v>
      </c>
      <c r="O263" s="4">
        <v>0.34052757793765</v>
      </c>
      <c r="P263" t="s">
        <v>101</v>
      </c>
      <c r="Q263" t="s">
        <v>104</v>
      </c>
      <c r="R263" s="3">
        <v>72900</v>
      </c>
      <c r="S263" s="4">
        <v>1.02962962962963</v>
      </c>
      <c r="T263" s="4">
        <v>-0.020949948533755</v>
      </c>
      <c r="U263" t="s">
        <v>211</v>
      </c>
      <c r="V263" s="4">
        <v>0.05</v>
      </c>
      <c r="W263">
        <v>3.6</v>
      </c>
    </row>
    <row r="264" spans="1:23">
      <c r="A264" t="s">
        <v>441</v>
      </c>
      <c r="B264" s="2">
        <v>45824</v>
      </c>
      <c r="C264" t="s">
        <v>38</v>
      </c>
      <c r="D264" t="s">
        <v>150</v>
      </c>
      <c r="E264" t="s">
        <v>24</v>
      </c>
      <c r="F264" t="s">
        <v>196</v>
      </c>
      <c r="G264" t="s">
        <v>161</v>
      </c>
      <c r="H264" t="s">
        <v>4</v>
      </c>
      <c r="I264" t="s">
        <v>184</v>
      </c>
      <c r="J264">
        <v>2</v>
      </c>
      <c r="K264" s="3">
        <v>12970</v>
      </c>
      <c r="L264" s="3">
        <v>25940</v>
      </c>
      <c r="M264" s="3">
        <v>16500</v>
      </c>
      <c r="N264" s="3">
        <v>9440</v>
      </c>
      <c r="O264" s="4">
        <v>0.363916730917502</v>
      </c>
      <c r="P264" t="s">
        <v>165</v>
      </c>
      <c r="Q264" t="s">
        <v>153</v>
      </c>
      <c r="R264" s="3">
        <v>29000</v>
      </c>
      <c r="S264" s="4">
        <v>0.89448275862069</v>
      </c>
      <c r="T264" s="4">
        <v>0.178705300832898</v>
      </c>
      <c r="U264" t="s">
        <v>116</v>
      </c>
      <c r="V264" s="4">
        <v>0.05</v>
      </c>
      <c r="W264">
        <v>3.5</v>
      </c>
    </row>
    <row r="265" spans="1:23">
      <c r="A265" t="s">
        <v>442</v>
      </c>
      <c r="B265" s="2">
        <v>45660</v>
      </c>
      <c r="C265" t="s">
        <v>33</v>
      </c>
      <c r="D265" t="s">
        <v>159</v>
      </c>
      <c r="E265" t="s">
        <v>29</v>
      </c>
      <c r="F265" t="s">
        <v>183</v>
      </c>
      <c r="G265" t="s">
        <v>76</v>
      </c>
      <c r="H265" t="s">
        <v>4</v>
      </c>
      <c r="I265" t="s">
        <v>172</v>
      </c>
      <c r="J265">
        <v>10</v>
      </c>
      <c r="K265" s="3">
        <v>12050</v>
      </c>
      <c r="L265" s="3">
        <v>120500</v>
      </c>
      <c r="M265" s="3">
        <v>71000</v>
      </c>
      <c r="N265" s="3">
        <v>49500</v>
      </c>
      <c r="O265" s="4">
        <v>0.410788381742739</v>
      </c>
      <c r="P265" t="s">
        <v>101</v>
      </c>
      <c r="Q265" t="s">
        <v>104</v>
      </c>
      <c r="R265" s="3">
        <v>112700</v>
      </c>
      <c r="S265" s="4">
        <v>1.06921029281278</v>
      </c>
      <c r="T265" s="4">
        <v>-0.0470157442925131</v>
      </c>
      <c r="U265" t="s">
        <v>116</v>
      </c>
      <c r="V265" s="4">
        <v>0</v>
      </c>
      <c r="W265">
        <v>4.9</v>
      </c>
    </row>
    <row r="266" spans="1:23">
      <c r="A266" t="s">
        <v>443</v>
      </c>
      <c r="B266" s="2">
        <v>45942</v>
      </c>
      <c r="C266" t="s">
        <v>42</v>
      </c>
      <c r="D266" t="s">
        <v>145</v>
      </c>
      <c r="E266" t="s">
        <v>26</v>
      </c>
      <c r="F266" t="s">
        <v>174</v>
      </c>
      <c r="G266" t="s">
        <v>175</v>
      </c>
      <c r="H266" t="s">
        <v>30</v>
      </c>
      <c r="I266" t="s">
        <v>81</v>
      </c>
      <c r="J266">
        <v>3</v>
      </c>
      <c r="K266" s="3">
        <v>2000</v>
      </c>
      <c r="L266" s="3">
        <v>6000</v>
      </c>
      <c r="M266" s="3">
        <v>2790</v>
      </c>
      <c r="N266" s="3">
        <v>3210</v>
      </c>
      <c r="O266" s="4">
        <v>0.535</v>
      </c>
      <c r="P266" t="s">
        <v>165</v>
      </c>
      <c r="Q266" t="s">
        <v>104</v>
      </c>
      <c r="R266" s="3">
        <v>6200</v>
      </c>
      <c r="S266" s="4">
        <v>0.967741935483871</v>
      </c>
      <c r="T266" s="4">
        <v>-0.0227223047270176</v>
      </c>
      <c r="U266" t="s">
        <v>116</v>
      </c>
      <c r="V266" s="4">
        <v>0.08</v>
      </c>
      <c r="W266">
        <v>4.8</v>
      </c>
    </row>
    <row r="267" spans="1:23">
      <c r="A267" t="s">
        <v>444</v>
      </c>
      <c r="B267" s="2">
        <v>45713</v>
      </c>
      <c r="C267" t="s">
        <v>34</v>
      </c>
      <c r="D267" t="s">
        <v>159</v>
      </c>
      <c r="E267" t="s">
        <v>28</v>
      </c>
      <c r="F267" t="s">
        <v>155</v>
      </c>
      <c r="G267" t="s">
        <v>156</v>
      </c>
      <c r="H267" t="s">
        <v>27</v>
      </c>
      <c r="I267" t="s">
        <v>148</v>
      </c>
      <c r="J267">
        <v>13</v>
      </c>
      <c r="K267" s="3">
        <v>19650</v>
      </c>
      <c r="L267" s="3">
        <v>255450</v>
      </c>
      <c r="M267" s="3">
        <v>180700</v>
      </c>
      <c r="N267" s="3">
        <v>74750</v>
      </c>
      <c r="O267" s="4">
        <v>0.292620865139949</v>
      </c>
      <c r="P267" t="s">
        <v>101</v>
      </c>
      <c r="Q267" t="s">
        <v>104</v>
      </c>
      <c r="R267" s="3">
        <v>253300</v>
      </c>
      <c r="S267" s="4">
        <v>1.00848795894197</v>
      </c>
      <c r="T267" s="4">
        <v>-0.0255303551147416</v>
      </c>
      <c r="U267" t="s">
        <v>116</v>
      </c>
      <c r="V267" s="4">
        <v>0.08</v>
      </c>
      <c r="W267">
        <v>3.4</v>
      </c>
    </row>
    <row r="268" spans="1:23">
      <c r="A268" t="s">
        <v>445</v>
      </c>
      <c r="B268" s="2">
        <v>45753</v>
      </c>
      <c r="C268" t="s">
        <v>36</v>
      </c>
      <c r="D268" t="s">
        <v>150</v>
      </c>
      <c r="E268" t="s">
        <v>26</v>
      </c>
      <c r="F268" t="s">
        <v>171</v>
      </c>
      <c r="G268" t="s">
        <v>147</v>
      </c>
      <c r="H268" t="s">
        <v>30</v>
      </c>
      <c r="I268" t="s">
        <v>216</v>
      </c>
      <c r="J268">
        <v>6</v>
      </c>
      <c r="K268" s="3">
        <v>5440</v>
      </c>
      <c r="L268" s="3">
        <v>32640</v>
      </c>
      <c r="M268" s="3">
        <v>17520</v>
      </c>
      <c r="N268" s="3">
        <v>15120</v>
      </c>
      <c r="O268" s="4">
        <v>0.463235294117647</v>
      </c>
      <c r="P268" t="s">
        <v>101</v>
      </c>
      <c r="Q268" t="s">
        <v>153</v>
      </c>
      <c r="R268" s="3">
        <v>37000</v>
      </c>
      <c r="S268" s="4">
        <v>0.882162162162162</v>
      </c>
      <c r="T268" s="4">
        <v>0.134228255422387</v>
      </c>
      <c r="U268" t="s">
        <v>116</v>
      </c>
      <c r="V268" s="4">
        <v>0.08</v>
      </c>
      <c r="W268">
        <v>4.6</v>
      </c>
    </row>
    <row r="269" spans="1:23">
      <c r="A269" t="s">
        <v>446</v>
      </c>
      <c r="B269" s="2">
        <v>45767</v>
      </c>
      <c r="C269" t="s">
        <v>36</v>
      </c>
      <c r="D269" t="s">
        <v>150</v>
      </c>
      <c r="E269" t="s">
        <v>29</v>
      </c>
      <c r="F269" t="s">
        <v>73</v>
      </c>
      <c r="G269" t="s">
        <v>164</v>
      </c>
      <c r="H269" t="s">
        <v>27</v>
      </c>
      <c r="I269" t="s">
        <v>157</v>
      </c>
      <c r="J269">
        <v>2</v>
      </c>
      <c r="K269" s="3">
        <v>11240</v>
      </c>
      <c r="L269" s="3">
        <v>22480</v>
      </c>
      <c r="M269" s="3">
        <v>15200</v>
      </c>
      <c r="N269" s="3">
        <v>7280</v>
      </c>
      <c r="O269" s="4">
        <v>0.323843416370107</v>
      </c>
      <c r="P269" t="s">
        <v>101</v>
      </c>
      <c r="Q269" t="s">
        <v>153</v>
      </c>
      <c r="R269" s="3">
        <v>23600</v>
      </c>
      <c r="S269" s="4">
        <v>0.952542372881356</v>
      </c>
      <c r="T269" s="4">
        <v>0.149352154297899</v>
      </c>
      <c r="U269" t="s">
        <v>116</v>
      </c>
      <c r="V269" s="4">
        <v>0.08</v>
      </c>
      <c r="W269">
        <v>4.1</v>
      </c>
    </row>
    <row r="270" spans="1:23">
      <c r="A270" t="s">
        <v>447</v>
      </c>
      <c r="B270" s="2">
        <v>45689</v>
      </c>
      <c r="C270" t="s">
        <v>34</v>
      </c>
      <c r="D270" t="s">
        <v>159</v>
      </c>
      <c r="E270" t="s">
        <v>28</v>
      </c>
      <c r="F270" t="s">
        <v>167</v>
      </c>
      <c r="G270" t="s">
        <v>156</v>
      </c>
      <c r="H270" t="s">
        <v>27</v>
      </c>
      <c r="I270" t="s">
        <v>157</v>
      </c>
      <c r="J270">
        <v>3</v>
      </c>
      <c r="K270" s="3">
        <v>11490</v>
      </c>
      <c r="L270" s="3">
        <v>34470</v>
      </c>
      <c r="M270" s="3">
        <v>22800</v>
      </c>
      <c r="N270" s="3">
        <v>11670</v>
      </c>
      <c r="O270" s="4">
        <v>0.338555265448216</v>
      </c>
      <c r="P270" t="s">
        <v>101</v>
      </c>
      <c r="Q270" t="s">
        <v>153</v>
      </c>
      <c r="R270" s="3">
        <v>35400</v>
      </c>
      <c r="S270" s="4">
        <v>0.973728813559322</v>
      </c>
      <c r="T270" s="4">
        <v>0.120928024886413</v>
      </c>
      <c r="U270" t="s">
        <v>116</v>
      </c>
      <c r="V270" s="4">
        <v>0.08</v>
      </c>
      <c r="W270">
        <v>4</v>
      </c>
    </row>
    <row r="271" spans="1:23">
      <c r="A271" t="s">
        <v>448</v>
      </c>
      <c r="B271" s="2">
        <v>45871</v>
      </c>
      <c r="C271" t="s">
        <v>40</v>
      </c>
      <c r="D271" t="s">
        <v>69</v>
      </c>
      <c r="E271" t="s">
        <v>26</v>
      </c>
      <c r="F271" t="s">
        <v>174</v>
      </c>
      <c r="G271" t="s">
        <v>175</v>
      </c>
      <c r="H271" t="s">
        <v>30</v>
      </c>
      <c r="I271" t="s">
        <v>81</v>
      </c>
      <c r="J271">
        <v>3</v>
      </c>
      <c r="K271" s="3">
        <v>2070</v>
      </c>
      <c r="L271" s="3">
        <v>6210</v>
      </c>
      <c r="M271" s="3">
        <v>2790</v>
      </c>
      <c r="N271" s="3">
        <v>3420</v>
      </c>
      <c r="O271" s="4">
        <v>0.550724637681159</v>
      </c>
      <c r="P271" t="s">
        <v>101</v>
      </c>
      <c r="Q271" t="s">
        <v>104</v>
      </c>
      <c r="R271" s="3">
        <v>6400</v>
      </c>
      <c r="S271" s="4">
        <v>0.9703125</v>
      </c>
      <c r="T271" s="4">
        <v>0.191853239456707</v>
      </c>
      <c r="U271" t="s">
        <v>193</v>
      </c>
      <c r="V271" s="4">
        <v>0.05</v>
      </c>
      <c r="W271">
        <v>4.6</v>
      </c>
    </row>
    <row r="272" spans="1:23">
      <c r="A272" t="s">
        <v>449</v>
      </c>
      <c r="B272" s="2">
        <v>46013</v>
      </c>
      <c r="C272" t="s">
        <v>44</v>
      </c>
      <c r="D272" t="s">
        <v>145</v>
      </c>
      <c r="E272" t="s">
        <v>24</v>
      </c>
      <c r="F272" t="s">
        <v>160</v>
      </c>
      <c r="G272" t="s">
        <v>180</v>
      </c>
      <c r="H272" t="s">
        <v>27</v>
      </c>
      <c r="I272" t="s">
        <v>162</v>
      </c>
      <c r="J272">
        <v>12</v>
      </c>
      <c r="K272" s="3">
        <v>19390</v>
      </c>
      <c r="L272" s="3">
        <v>232680</v>
      </c>
      <c r="M272" s="3">
        <v>151200</v>
      </c>
      <c r="N272" s="3">
        <v>81480</v>
      </c>
      <c r="O272" s="4">
        <v>0.350180505415162</v>
      </c>
      <c r="P272" t="s">
        <v>101</v>
      </c>
      <c r="Q272" t="s">
        <v>104</v>
      </c>
      <c r="R272" s="3">
        <v>221100</v>
      </c>
      <c r="S272" s="4">
        <v>1.05237449118046</v>
      </c>
      <c r="T272" s="4">
        <v>0.157568579712188</v>
      </c>
      <c r="U272" t="s">
        <v>211</v>
      </c>
      <c r="V272" s="4">
        <v>0.03</v>
      </c>
      <c r="W272">
        <v>3.9</v>
      </c>
    </row>
    <row r="273" spans="1:23">
      <c r="A273" t="s">
        <v>450</v>
      </c>
      <c r="B273" s="2">
        <v>45822</v>
      </c>
      <c r="C273" t="s">
        <v>38</v>
      </c>
      <c r="D273" t="s">
        <v>150</v>
      </c>
      <c r="E273" t="s">
        <v>28</v>
      </c>
      <c r="F273" t="s">
        <v>167</v>
      </c>
      <c r="G273" t="s">
        <v>156</v>
      </c>
      <c r="H273" t="s">
        <v>4</v>
      </c>
      <c r="I273" t="s">
        <v>172</v>
      </c>
      <c r="J273">
        <v>9</v>
      </c>
      <c r="K273" s="3">
        <v>11570</v>
      </c>
      <c r="L273" s="3">
        <v>104130</v>
      </c>
      <c r="M273" s="3">
        <v>63900</v>
      </c>
      <c r="N273" s="3">
        <v>40230</v>
      </c>
      <c r="O273" s="4">
        <v>0.386343993085566</v>
      </c>
      <c r="P273" t="s">
        <v>101</v>
      </c>
      <c r="Q273" t="s">
        <v>104</v>
      </c>
      <c r="R273" s="3">
        <v>109600</v>
      </c>
      <c r="S273" s="4">
        <v>0.950091240875912</v>
      </c>
      <c r="T273" s="4">
        <v>0.00720424668789518</v>
      </c>
      <c r="U273" t="s">
        <v>116</v>
      </c>
      <c r="V273" s="4">
        <v>0</v>
      </c>
      <c r="W273">
        <v>4.8</v>
      </c>
    </row>
    <row r="274" spans="1:23">
      <c r="A274" t="s">
        <v>451</v>
      </c>
      <c r="B274" s="2">
        <v>45813</v>
      </c>
      <c r="C274" t="s">
        <v>38</v>
      </c>
      <c r="D274" t="s">
        <v>150</v>
      </c>
      <c r="E274" t="s">
        <v>29</v>
      </c>
      <c r="F274" t="s">
        <v>151</v>
      </c>
      <c r="G274" t="s">
        <v>76</v>
      </c>
      <c r="H274" t="s">
        <v>30</v>
      </c>
      <c r="I274" t="s">
        <v>81</v>
      </c>
      <c r="J274">
        <v>6</v>
      </c>
      <c r="K274" s="3">
        <v>2060</v>
      </c>
      <c r="L274" s="3">
        <v>12360</v>
      </c>
      <c r="M274" s="3">
        <v>5580</v>
      </c>
      <c r="N274" s="3">
        <v>6780</v>
      </c>
      <c r="O274" s="4">
        <v>0.548543689320388</v>
      </c>
      <c r="P274" t="s">
        <v>165</v>
      </c>
      <c r="Q274" t="s">
        <v>153</v>
      </c>
      <c r="R274" s="3">
        <v>11400</v>
      </c>
      <c r="S274" s="4">
        <v>1.08421052631579</v>
      </c>
      <c r="T274" s="4">
        <v>-0.0603560910248575</v>
      </c>
      <c r="U274" t="s">
        <v>116</v>
      </c>
      <c r="V274" s="4">
        <v>0</v>
      </c>
      <c r="W274">
        <v>4.4</v>
      </c>
    </row>
    <row r="275" spans="1:23">
      <c r="A275" t="s">
        <v>452</v>
      </c>
      <c r="B275" s="2">
        <v>45706</v>
      </c>
      <c r="C275" t="s">
        <v>34</v>
      </c>
      <c r="D275" t="s">
        <v>159</v>
      </c>
      <c r="E275" t="s">
        <v>24</v>
      </c>
      <c r="F275" t="s">
        <v>160</v>
      </c>
      <c r="G275" t="s">
        <v>161</v>
      </c>
      <c r="H275" t="s">
        <v>25</v>
      </c>
      <c r="I275" t="s">
        <v>218</v>
      </c>
      <c r="J275">
        <v>5</v>
      </c>
      <c r="K275" s="3">
        <v>32730</v>
      </c>
      <c r="L275" s="3">
        <v>163650</v>
      </c>
      <c r="M275" s="3">
        <v>114000</v>
      </c>
      <c r="N275" s="3">
        <v>49650</v>
      </c>
      <c r="O275" s="4">
        <v>0.303391384051329</v>
      </c>
      <c r="P275" t="s">
        <v>165</v>
      </c>
      <c r="Q275" t="s">
        <v>153</v>
      </c>
      <c r="R275" s="3">
        <v>175300</v>
      </c>
      <c r="S275" s="4">
        <v>0.933542498573873</v>
      </c>
      <c r="T275" s="4">
        <v>0.0867568645635234</v>
      </c>
      <c r="U275" t="s">
        <v>116</v>
      </c>
      <c r="V275" s="4">
        <v>0</v>
      </c>
      <c r="W275">
        <v>4.1</v>
      </c>
    </row>
    <row r="276" spans="1:23">
      <c r="A276" t="s">
        <v>453</v>
      </c>
      <c r="B276" s="2">
        <v>45914</v>
      </c>
      <c r="C276" t="s">
        <v>41</v>
      </c>
      <c r="D276" t="s">
        <v>69</v>
      </c>
      <c r="E276" t="s">
        <v>29</v>
      </c>
      <c r="F276" t="s">
        <v>183</v>
      </c>
      <c r="G276" t="s">
        <v>164</v>
      </c>
      <c r="H276" t="s">
        <v>25</v>
      </c>
      <c r="I276" t="s">
        <v>207</v>
      </c>
      <c r="J276">
        <v>2</v>
      </c>
      <c r="K276" s="3">
        <v>69210</v>
      </c>
      <c r="L276" s="3">
        <v>138420</v>
      </c>
      <c r="M276" s="3">
        <v>105000</v>
      </c>
      <c r="N276" s="3">
        <v>33420</v>
      </c>
      <c r="O276" s="4">
        <v>0.241439098396186</v>
      </c>
      <c r="P276" t="s">
        <v>101</v>
      </c>
      <c r="Q276" t="s">
        <v>153</v>
      </c>
      <c r="R276" s="3">
        <v>140900</v>
      </c>
      <c r="S276" s="4">
        <v>0.982398864442867</v>
      </c>
      <c r="T276" s="4">
        <v>-0.0609850566462184</v>
      </c>
      <c r="U276" t="s">
        <v>116</v>
      </c>
      <c r="V276" s="4">
        <v>0.03</v>
      </c>
      <c r="W276">
        <v>3.7</v>
      </c>
    </row>
    <row r="277" spans="1:23">
      <c r="A277" t="s">
        <v>454</v>
      </c>
      <c r="B277" s="2">
        <v>45966</v>
      </c>
      <c r="C277" t="s">
        <v>43</v>
      </c>
      <c r="D277" t="s">
        <v>145</v>
      </c>
      <c r="E277" t="s">
        <v>24</v>
      </c>
      <c r="F277" t="s">
        <v>179</v>
      </c>
      <c r="G277" t="s">
        <v>180</v>
      </c>
      <c r="H277" t="s">
        <v>30</v>
      </c>
      <c r="I277" t="s">
        <v>81</v>
      </c>
      <c r="J277">
        <v>2</v>
      </c>
      <c r="K277" s="3">
        <v>2120</v>
      </c>
      <c r="L277" s="3">
        <v>4240</v>
      </c>
      <c r="M277" s="3">
        <v>1860</v>
      </c>
      <c r="N277" s="3">
        <v>2380</v>
      </c>
      <c r="O277" s="4">
        <v>0.561320754716981</v>
      </c>
      <c r="P277" t="s">
        <v>101</v>
      </c>
      <c r="Q277" t="s">
        <v>153</v>
      </c>
      <c r="R277" s="3">
        <v>5000</v>
      </c>
      <c r="S277" s="4">
        <v>0.848</v>
      </c>
      <c r="T277" s="4">
        <v>0.0431043526747313</v>
      </c>
      <c r="U277" t="s">
        <v>116</v>
      </c>
      <c r="V277" s="4">
        <v>0.03</v>
      </c>
      <c r="W277">
        <v>4</v>
      </c>
    </row>
    <row r="278" spans="1:23">
      <c r="A278" t="s">
        <v>455</v>
      </c>
      <c r="B278" s="2">
        <v>45928</v>
      </c>
      <c r="C278" t="s">
        <v>41</v>
      </c>
      <c r="D278" t="s">
        <v>69</v>
      </c>
      <c r="E278" t="s">
        <v>24</v>
      </c>
      <c r="F278" t="s">
        <v>179</v>
      </c>
      <c r="G278" t="s">
        <v>180</v>
      </c>
      <c r="H278" t="s">
        <v>27</v>
      </c>
      <c r="I278" t="s">
        <v>162</v>
      </c>
      <c r="J278">
        <v>12</v>
      </c>
      <c r="K278" s="3">
        <v>19260</v>
      </c>
      <c r="L278" s="3">
        <v>231120</v>
      </c>
      <c r="M278" s="3">
        <v>151200</v>
      </c>
      <c r="N278" s="3">
        <v>79920</v>
      </c>
      <c r="O278" s="4">
        <v>0.345794392523364</v>
      </c>
      <c r="P278" t="s">
        <v>101</v>
      </c>
      <c r="Q278" t="s">
        <v>153</v>
      </c>
      <c r="R278" s="3">
        <v>272000</v>
      </c>
      <c r="S278" s="4">
        <v>0.849705882352941</v>
      </c>
      <c r="T278" s="4">
        <v>0.149207982854786</v>
      </c>
      <c r="U278" t="s">
        <v>116</v>
      </c>
      <c r="V278" s="4">
        <v>0</v>
      </c>
      <c r="W278">
        <v>4.2</v>
      </c>
    </row>
    <row r="279" spans="1:23">
      <c r="A279" t="s">
        <v>456</v>
      </c>
      <c r="B279" s="2">
        <v>45975</v>
      </c>
      <c r="C279" t="s">
        <v>43</v>
      </c>
      <c r="D279" t="s">
        <v>145</v>
      </c>
      <c r="E279" t="s">
        <v>26</v>
      </c>
      <c r="F279" t="s">
        <v>146</v>
      </c>
      <c r="G279" t="s">
        <v>147</v>
      </c>
      <c r="H279" t="s">
        <v>4</v>
      </c>
      <c r="I279" t="s">
        <v>184</v>
      </c>
      <c r="J279">
        <v>6</v>
      </c>
      <c r="K279" s="3">
        <v>13290</v>
      </c>
      <c r="L279" s="3">
        <v>79740</v>
      </c>
      <c r="M279" s="3">
        <v>49500</v>
      </c>
      <c r="N279" s="3">
        <v>30240</v>
      </c>
      <c r="O279" s="4">
        <v>0.379232505643341</v>
      </c>
      <c r="P279" t="s">
        <v>101</v>
      </c>
      <c r="Q279" t="s">
        <v>104</v>
      </c>
      <c r="R279" s="3">
        <v>76100</v>
      </c>
      <c r="S279" s="4">
        <v>1.04783180026281</v>
      </c>
      <c r="T279" s="4">
        <v>0.000502834987667886</v>
      </c>
      <c r="U279" t="s">
        <v>116</v>
      </c>
      <c r="V279" s="4">
        <v>0</v>
      </c>
      <c r="W279">
        <v>3.8</v>
      </c>
    </row>
    <row r="280" spans="1:23">
      <c r="A280" t="s">
        <v>457</v>
      </c>
      <c r="B280" s="2">
        <v>45680</v>
      </c>
      <c r="C280" t="s">
        <v>33</v>
      </c>
      <c r="D280" t="s">
        <v>159</v>
      </c>
      <c r="E280" t="s">
        <v>26</v>
      </c>
      <c r="F280" t="s">
        <v>171</v>
      </c>
      <c r="G280" t="s">
        <v>175</v>
      </c>
      <c r="H280" t="s">
        <v>30</v>
      </c>
      <c r="I280" t="s">
        <v>169</v>
      </c>
      <c r="J280">
        <v>2</v>
      </c>
      <c r="K280" s="3">
        <v>3830</v>
      </c>
      <c r="L280" s="3">
        <v>7660</v>
      </c>
      <c r="M280" s="3">
        <v>3520</v>
      </c>
      <c r="N280" s="3">
        <v>4140</v>
      </c>
      <c r="O280" s="4">
        <v>0.540469973890339</v>
      </c>
      <c r="P280" t="s">
        <v>165</v>
      </c>
      <c r="Q280" t="s">
        <v>104</v>
      </c>
      <c r="R280" s="3">
        <v>8800</v>
      </c>
      <c r="S280" s="4">
        <v>0.870454545454545</v>
      </c>
      <c r="T280" s="4">
        <v>0.170647326615398</v>
      </c>
      <c r="U280" t="s">
        <v>116</v>
      </c>
      <c r="V280" s="4">
        <v>0</v>
      </c>
      <c r="W280">
        <v>3.7</v>
      </c>
    </row>
    <row r="281" spans="1:23">
      <c r="A281" t="s">
        <v>458</v>
      </c>
      <c r="B281" s="2">
        <v>45767</v>
      </c>
      <c r="C281" t="s">
        <v>36</v>
      </c>
      <c r="D281" t="s">
        <v>150</v>
      </c>
      <c r="E281" t="s">
        <v>26</v>
      </c>
      <c r="F281" t="s">
        <v>146</v>
      </c>
      <c r="G281" t="s">
        <v>175</v>
      </c>
      <c r="H281" t="s">
        <v>25</v>
      </c>
      <c r="I281" t="s">
        <v>152</v>
      </c>
      <c r="J281">
        <v>14</v>
      </c>
      <c r="K281" s="3">
        <v>24260</v>
      </c>
      <c r="L281" s="3">
        <v>339640</v>
      </c>
      <c r="M281" s="3">
        <v>257600</v>
      </c>
      <c r="N281" s="3">
        <v>82040</v>
      </c>
      <c r="O281" s="4">
        <v>0.241549876339654</v>
      </c>
      <c r="P281" t="s">
        <v>101</v>
      </c>
      <c r="Q281" t="s">
        <v>153</v>
      </c>
      <c r="R281" s="3">
        <v>358100</v>
      </c>
      <c r="S281" s="4">
        <v>0.948450153588383</v>
      </c>
      <c r="T281" s="4">
        <v>0.114106739663975</v>
      </c>
      <c r="U281" t="s">
        <v>116</v>
      </c>
      <c r="V281" s="4">
        <v>0.05</v>
      </c>
      <c r="W281">
        <v>4.6</v>
      </c>
    </row>
    <row r="282" spans="1:23">
      <c r="A282" t="s">
        <v>459</v>
      </c>
      <c r="B282" s="2">
        <v>45737</v>
      </c>
      <c r="C282" t="s">
        <v>35</v>
      </c>
      <c r="D282" t="s">
        <v>159</v>
      </c>
      <c r="E282" t="s">
        <v>24</v>
      </c>
      <c r="F282" t="s">
        <v>160</v>
      </c>
      <c r="G282" t="s">
        <v>180</v>
      </c>
      <c r="H282" t="s">
        <v>4</v>
      </c>
      <c r="I282" t="s">
        <v>189</v>
      </c>
      <c r="J282">
        <v>2</v>
      </c>
      <c r="K282" s="3">
        <v>15120</v>
      </c>
      <c r="L282" s="3">
        <v>30240</v>
      </c>
      <c r="M282" s="3">
        <v>20800</v>
      </c>
      <c r="N282" s="3">
        <v>9440</v>
      </c>
      <c r="O282" s="4">
        <v>0.312169312169312</v>
      </c>
      <c r="P282" t="s">
        <v>101</v>
      </c>
      <c r="Q282" t="s">
        <v>153</v>
      </c>
      <c r="R282" s="3">
        <v>34300</v>
      </c>
      <c r="S282" s="4">
        <v>0.881632653061225</v>
      </c>
      <c r="T282" s="4">
        <v>-0.0512069056376722</v>
      </c>
      <c r="U282" t="s">
        <v>116</v>
      </c>
      <c r="V282" s="4">
        <v>0.08</v>
      </c>
      <c r="W282">
        <v>5</v>
      </c>
    </row>
    <row r="283" spans="1:23">
      <c r="A283" t="s">
        <v>460</v>
      </c>
      <c r="B283" s="2">
        <v>45900</v>
      </c>
      <c r="C283" t="s">
        <v>40</v>
      </c>
      <c r="D283" t="s">
        <v>69</v>
      </c>
      <c r="E283" t="s">
        <v>26</v>
      </c>
      <c r="F283" t="s">
        <v>171</v>
      </c>
      <c r="G283" t="s">
        <v>147</v>
      </c>
      <c r="H283" t="s">
        <v>27</v>
      </c>
      <c r="I283" t="s">
        <v>148</v>
      </c>
      <c r="J283">
        <v>11</v>
      </c>
      <c r="K283" s="3">
        <v>20560</v>
      </c>
      <c r="L283" s="3">
        <v>226160</v>
      </c>
      <c r="M283" s="3">
        <v>152900</v>
      </c>
      <c r="N283" s="3">
        <v>73260</v>
      </c>
      <c r="O283" s="4">
        <v>0.323929961089494</v>
      </c>
      <c r="P283" t="s">
        <v>101</v>
      </c>
      <c r="Q283" t="s">
        <v>104</v>
      </c>
      <c r="R283" s="3">
        <v>217500</v>
      </c>
      <c r="S283" s="4">
        <v>1.03981609195402</v>
      </c>
      <c r="T283" s="4">
        <v>0.0538090815346067</v>
      </c>
      <c r="U283" t="s">
        <v>211</v>
      </c>
      <c r="V283" s="4">
        <v>0</v>
      </c>
      <c r="W283">
        <v>4</v>
      </c>
    </row>
    <row r="284" spans="1:23">
      <c r="A284" t="s">
        <v>461</v>
      </c>
      <c r="B284" s="2">
        <v>45661</v>
      </c>
      <c r="C284" t="s">
        <v>33</v>
      </c>
      <c r="D284" t="s">
        <v>159</v>
      </c>
      <c r="E284" t="s">
        <v>28</v>
      </c>
      <c r="F284" t="s">
        <v>155</v>
      </c>
      <c r="G284" t="s">
        <v>168</v>
      </c>
      <c r="H284" t="s">
        <v>27</v>
      </c>
      <c r="I284" t="s">
        <v>157</v>
      </c>
      <c r="J284">
        <v>14</v>
      </c>
      <c r="K284" s="3">
        <v>11740</v>
      </c>
      <c r="L284" s="3">
        <v>164360</v>
      </c>
      <c r="M284" s="3">
        <v>106400</v>
      </c>
      <c r="N284" s="3">
        <v>57960</v>
      </c>
      <c r="O284" s="4">
        <v>0.352640545144804</v>
      </c>
      <c r="P284" t="s">
        <v>101</v>
      </c>
      <c r="Q284" t="s">
        <v>153</v>
      </c>
      <c r="R284" s="3">
        <v>155300</v>
      </c>
      <c r="S284" s="4">
        <v>1.05833869929169</v>
      </c>
      <c r="T284" s="4">
        <v>0.0763131972778837</v>
      </c>
      <c r="U284" t="s">
        <v>193</v>
      </c>
      <c r="V284" s="4">
        <v>0.08</v>
      </c>
      <c r="W284">
        <v>4.2</v>
      </c>
    </row>
    <row r="285" spans="1:23">
      <c r="A285" t="s">
        <v>462</v>
      </c>
      <c r="B285" s="2">
        <v>45853</v>
      </c>
      <c r="C285" t="s">
        <v>39</v>
      </c>
      <c r="D285" t="s">
        <v>69</v>
      </c>
      <c r="E285" t="s">
        <v>29</v>
      </c>
      <c r="F285" t="s">
        <v>73</v>
      </c>
      <c r="G285" t="s">
        <v>164</v>
      </c>
      <c r="H285" t="s">
        <v>27</v>
      </c>
      <c r="I285" t="s">
        <v>162</v>
      </c>
      <c r="J285">
        <v>14</v>
      </c>
      <c r="K285" s="3">
        <v>19140</v>
      </c>
      <c r="L285" s="3">
        <v>267960</v>
      </c>
      <c r="M285" s="3">
        <v>176400</v>
      </c>
      <c r="N285" s="3">
        <v>91560</v>
      </c>
      <c r="O285" s="4">
        <v>0.341692789968652</v>
      </c>
      <c r="P285" t="s">
        <v>101</v>
      </c>
      <c r="Q285" t="s">
        <v>104</v>
      </c>
      <c r="R285" s="3">
        <v>276500</v>
      </c>
      <c r="S285" s="4">
        <v>0.969113924050633</v>
      </c>
      <c r="T285" s="4">
        <v>0.136789964434038</v>
      </c>
      <c r="U285" t="s">
        <v>116</v>
      </c>
      <c r="V285" s="4">
        <v>0.05</v>
      </c>
      <c r="W285">
        <v>4.8</v>
      </c>
    </row>
    <row r="286" spans="1:23">
      <c r="A286" t="s">
        <v>463</v>
      </c>
      <c r="B286" s="2">
        <v>45979</v>
      </c>
      <c r="C286" t="s">
        <v>43</v>
      </c>
      <c r="D286" t="s">
        <v>145</v>
      </c>
      <c r="E286" t="s">
        <v>28</v>
      </c>
      <c r="F286" t="s">
        <v>155</v>
      </c>
      <c r="G286" t="s">
        <v>168</v>
      </c>
      <c r="H286" t="s">
        <v>30</v>
      </c>
      <c r="I286" t="s">
        <v>81</v>
      </c>
      <c r="J286">
        <v>12</v>
      </c>
      <c r="K286" s="3">
        <v>2170</v>
      </c>
      <c r="L286" s="3">
        <v>26040</v>
      </c>
      <c r="M286" s="3">
        <v>11160</v>
      </c>
      <c r="N286" s="3">
        <v>14880</v>
      </c>
      <c r="O286" s="4">
        <v>0.571428571428571</v>
      </c>
      <c r="P286" t="s">
        <v>165</v>
      </c>
      <c r="Q286" t="s">
        <v>104</v>
      </c>
      <c r="R286" s="3">
        <v>25800</v>
      </c>
      <c r="S286" s="4">
        <v>1.0093023255814</v>
      </c>
      <c r="T286" s="4">
        <v>0.044190565155087</v>
      </c>
      <c r="U286" t="s">
        <v>116</v>
      </c>
      <c r="V286" s="4">
        <v>0</v>
      </c>
      <c r="W286">
        <v>3.6</v>
      </c>
    </row>
    <row r="287" spans="1:23">
      <c r="A287" t="s">
        <v>464</v>
      </c>
      <c r="B287" s="2">
        <v>45923</v>
      </c>
      <c r="C287" t="s">
        <v>41</v>
      </c>
      <c r="D287" t="s">
        <v>69</v>
      </c>
      <c r="E287" t="s">
        <v>29</v>
      </c>
      <c r="F287" t="s">
        <v>183</v>
      </c>
      <c r="G287" t="s">
        <v>76</v>
      </c>
      <c r="H287" t="s">
        <v>4</v>
      </c>
      <c r="I287" t="s">
        <v>184</v>
      </c>
      <c r="J287">
        <v>10</v>
      </c>
      <c r="K287" s="3">
        <v>13570</v>
      </c>
      <c r="L287" s="3">
        <v>135700</v>
      </c>
      <c r="M287" s="3">
        <v>82500</v>
      </c>
      <c r="N287" s="3">
        <v>53200</v>
      </c>
      <c r="O287" s="4">
        <v>0.392041267501842</v>
      </c>
      <c r="P287" t="s">
        <v>101</v>
      </c>
      <c r="Q287" t="s">
        <v>104</v>
      </c>
      <c r="R287" s="3">
        <v>156900</v>
      </c>
      <c r="S287" s="4">
        <v>0.864882090503505</v>
      </c>
      <c r="T287" s="4">
        <v>0.0104479085405998</v>
      </c>
      <c r="U287" t="s">
        <v>116</v>
      </c>
      <c r="V287" s="4">
        <v>0.03</v>
      </c>
      <c r="W287">
        <v>4.8</v>
      </c>
    </row>
    <row r="288" spans="1:23">
      <c r="A288" t="s">
        <v>465</v>
      </c>
      <c r="B288" s="2">
        <v>45894</v>
      </c>
      <c r="C288" t="s">
        <v>40</v>
      </c>
      <c r="D288" t="s">
        <v>69</v>
      </c>
      <c r="E288" t="s">
        <v>28</v>
      </c>
      <c r="F288" t="s">
        <v>167</v>
      </c>
      <c r="G288" t="s">
        <v>156</v>
      </c>
      <c r="H288" t="s">
        <v>30</v>
      </c>
      <c r="I288" t="s">
        <v>169</v>
      </c>
      <c r="J288">
        <v>4</v>
      </c>
      <c r="K288" s="3">
        <v>3820</v>
      </c>
      <c r="L288" s="3">
        <v>15280</v>
      </c>
      <c r="M288" s="3">
        <v>7040</v>
      </c>
      <c r="N288" s="3">
        <v>8240</v>
      </c>
      <c r="O288" s="4">
        <v>0.539267015706806</v>
      </c>
      <c r="P288" t="s">
        <v>101</v>
      </c>
      <c r="Q288" t="s">
        <v>104</v>
      </c>
      <c r="R288" s="3">
        <v>16400</v>
      </c>
      <c r="S288" s="4">
        <v>0.931707317073171</v>
      </c>
      <c r="T288" s="4">
        <v>-0.0185013427466675</v>
      </c>
      <c r="U288" t="s">
        <v>116</v>
      </c>
      <c r="V288" s="4">
        <v>0</v>
      </c>
      <c r="W288">
        <v>3.7</v>
      </c>
    </row>
    <row r="289" spans="1:23">
      <c r="A289" t="s">
        <v>466</v>
      </c>
      <c r="B289" s="2">
        <v>45694</v>
      </c>
      <c r="C289" t="s">
        <v>34</v>
      </c>
      <c r="D289" t="s">
        <v>159</v>
      </c>
      <c r="E289" t="s">
        <v>24</v>
      </c>
      <c r="F289" t="s">
        <v>179</v>
      </c>
      <c r="G289" t="s">
        <v>161</v>
      </c>
      <c r="H289" t="s">
        <v>27</v>
      </c>
      <c r="I289" t="s">
        <v>148</v>
      </c>
      <c r="J289">
        <v>3</v>
      </c>
      <c r="K289" s="3">
        <v>20130</v>
      </c>
      <c r="L289" s="3">
        <v>60390</v>
      </c>
      <c r="M289" s="3">
        <v>41700</v>
      </c>
      <c r="N289" s="3">
        <v>18690</v>
      </c>
      <c r="O289" s="4">
        <v>0.309488325881768</v>
      </c>
      <c r="P289" t="s">
        <v>101</v>
      </c>
      <c r="Q289" t="s">
        <v>153</v>
      </c>
      <c r="R289" s="3">
        <v>56800</v>
      </c>
      <c r="S289" s="4">
        <v>1.06320422535211</v>
      </c>
      <c r="T289" s="4">
        <v>0.178873795789717</v>
      </c>
      <c r="U289" t="s">
        <v>116</v>
      </c>
      <c r="V289" s="4">
        <v>0.08</v>
      </c>
      <c r="W289">
        <v>4.1</v>
      </c>
    </row>
    <row r="290" spans="1:23">
      <c r="A290" t="s">
        <v>467</v>
      </c>
      <c r="B290" s="2">
        <v>45894</v>
      </c>
      <c r="C290" t="s">
        <v>40</v>
      </c>
      <c r="D290" t="s">
        <v>69</v>
      </c>
      <c r="E290" t="s">
        <v>28</v>
      </c>
      <c r="F290" t="s">
        <v>167</v>
      </c>
      <c r="G290" t="s">
        <v>168</v>
      </c>
      <c r="H290" t="s">
        <v>4</v>
      </c>
      <c r="I290" t="s">
        <v>189</v>
      </c>
      <c r="J290">
        <v>1</v>
      </c>
      <c r="K290" s="3">
        <v>16240</v>
      </c>
      <c r="L290" s="3">
        <v>16240</v>
      </c>
      <c r="M290" s="3">
        <v>10400</v>
      </c>
      <c r="N290" s="3">
        <v>5840</v>
      </c>
      <c r="O290" s="4">
        <v>0.359605911330049</v>
      </c>
      <c r="P290" t="s">
        <v>101</v>
      </c>
      <c r="Q290" t="s">
        <v>153</v>
      </c>
      <c r="R290" s="3">
        <v>18400</v>
      </c>
      <c r="S290" s="4">
        <v>0.882608695652174</v>
      </c>
      <c r="T290" s="4">
        <v>0.109699029793261</v>
      </c>
      <c r="U290" t="s">
        <v>116</v>
      </c>
      <c r="V290" s="4">
        <v>0</v>
      </c>
      <c r="W290">
        <v>4.2</v>
      </c>
    </row>
    <row r="291" spans="1:23">
      <c r="A291" t="s">
        <v>468</v>
      </c>
      <c r="B291" s="2">
        <v>45691</v>
      </c>
      <c r="C291" t="s">
        <v>34</v>
      </c>
      <c r="D291" t="s">
        <v>159</v>
      </c>
      <c r="E291" t="s">
        <v>28</v>
      </c>
      <c r="F291" t="s">
        <v>167</v>
      </c>
      <c r="G291" t="s">
        <v>156</v>
      </c>
      <c r="H291" t="s">
        <v>25</v>
      </c>
      <c r="I291" t="s">
        <v>207</v>
      </c>
      <c r="J291">
        <v>3</v>
      </c>
      <c r="K291" s="3">
        <v>68690</v>
      </c>
      <c r="L291" s="3">
        <v>206070</v>
      </c>
      <c r="M291" s="3">
        <v>157500</v>
      </c>
      <c r="N291" s="3">
        <v>48570</v>
      </c>
      <c r="O291" s="4">
        <v>0.235696607948755</v>
      </c>
      <c r="P291" t="s">
        <v>101</v>
      </c>
      <c r="Q291" t="s">
        <v>104</v>
      </c>
      <c r="R291" s="3">
        <v>220600</v>
      </c>
      <c r="S291" s="4">
        <v>0.934134179510426</v>
      </c>
      <c r="T291" s="4">
        <v>0.140328523793481</v>
      </c>
      <c r="U291" t="s">
        <v>116</v>
      </c>
      <c r="V291" s="4">
        <v>0.05</v>
      </c>
      <c r="W291">
        <v>4.5</v>
      </c>
    </row>
    <row r="292" spans="1:23">
      <c r="A292" t="s">
        <v>469</v>
      </c>
      <c r="B292" s="2">
        <v>45735</v>
      </c>
      <c r="C292" t="s">
        <v>35</v>
      </c>
      <c r="D292" t="s">
        <v>159</v>
      </c>
      <c r="E292" t="s">
        <v>24</v>
      </c>
      <c r="F292" t="s">
        <v>179</v>
      </c>
      <c r="G292" t="s">
        <v>180</v>
      </c>
      <c r="H292" t="s">
        <v>30</v>
      </c>
      <c r="I292" t="s">
        <v>216</v>
      </c>
      <c r="J292">
        <v>7</v>
      </c>
      <c r="K292" s="3">
        <v>5660</v>
      </c>
      <c r="L292" s="3">
        <v>39620</v>
      </c>
      <c r="M292" s="3">
        <v>20440</v>
      </c>
      <c r="N292" s="3">
        <v>19180</v>
      </c>
      <c r="O292" s="4">
        <v>0.484098939929329</v>
      </c>
      <c r="P292" t="s">
        <v>165</v>
      </c>
      <c r="Q292" t="s">
        <v>104</v>
      </c>
      <c r="R292" s="3">
        <v>40500</v>
      </c>
      <c r="S292" s="4">
        <v>0.978271604938272</v>
      </c>
      <c r="T292" s="4">
        <v>-0.00720982185153334</v>
      </c>
      <c r="U292" t="s">
        <v>116</v>
      </c>
      <c r="V292" s="4">
        <v>0</v>
      </c>
      <c r="W292">
        <v>3.8</v>
      </c>
    </row>
    <row r="293" spans="1:23">
      <c r="A293" t="s">
        <v>470</v>
      </c>
      <c r="B293" s="2">
        <v>45753</v>
      </c>
      <c r="C293" t="s">
        <v>36</v>
      </c>
      <c r="D293" t="s">
        <v>150</v>
      </c>
      <c r="E293" t="s">
        <v>28</v>
      </c>
      <c r="F293" t="s">
        <v>167</v>
      </c>
      <c r="G293" t="s">
        <v>168</v>
      </c>
      <c r="H293" t="s">
        <v>27</v>
      </c>
      <c r="I293" t="s">
        <v>148</v>
      </c>
      <c r="J293">
        <v>14</v>
      </c>
      <c r="K293" s="3">
        <v>20100</v>
      </c>
      <c r="L293" s="3">
        <v>281400</v>
      </c>
      <c r="M293" s="3">
        <v>194600</v>
      </c>
      <c r="N293" s="3">
        <v>86800</v>
      </c>
      <c r="O293" s="4">
        <v>0.308457711442786</v>
      </c>
      <c r="P293" t="s">
        <v>101</v>
      </c>
      <c r="Q293" t="s">
        <v>153</v>
      </c>
      <c r="R293" s="3">
        <v>292000</v>
      </c>
      <c r="S293" s="4">
        <v>0.963698630136986</v>
      </c>
      <c r="T293" s="4">
        <v>0.186742142668942</v>
      </c>
      <c r="U293" t="s">
        <v>116</v>
      </c>
      <c r="V293" s="4">
        <v>0.03</v>
      </c>
      <c r="W293">
        <v>3.6</v>
      </c>
    </row>
    <row r="294" spans="1:23">
      <c r="A294" t="s">
        <v>471</v>
      </c>
      <c r="B294" s="2">
        <v>45668</v>
      </c>
      <c r="C294" t="s">
        <v>33</v>
      </c>
      <c r="D294" t="s">
        <v>159</v>
      </c>
      <c r="E294" t="s">
        <v>29</v>
      </c>
      <c r="F294" t="s">
        <v>151</v>
      </c>
      <c r="G294" t="s">
        <v>164</v>
      </c>
      <c r="H294" t="s">
        <v>30</v>
      </c>
      <c r="I294" t="s">
        <v>81</v>
      </c>
      <c r="J294">
        <v>9</v>
      </c>
      <c r="K294" s="3">
        <v>1930</v>
      </c>
      <c r="L294" s="3">
        <v>17370</v>
      </c>
      <c r="M294" s="3">
        <v>8370</v>
      </c>
      <c r="N294" s="3">
        <v>9000</v>
      </c>
      <c r="O294" s="4">
        <v>0.518134715025907</v>
      </c>
      <c r="P294" t="s">
        <v>101</v>
      </c>
      <c r="Q294" t="s">
        <v>104</v>
      </c>
      <c r="R294" s="3">
        <v>20400</v>
      </c>
      <c r="S294" s="4">
        <v>0.851470588235294</v>
      </c>
      <c r="T294" s="4">
        <v>-0.026320530042381</v>
      </c>
      <c r="U294" t="s">
        <v>116</v>
      </c>
      <c r="V294" s="4">
        <v>0.08</v>
      </c>
      <c r="W294">
        <v>3.9</v>
      </c>
    </row>
    <row r="295" spans="1:23">
      <c r="A295" t="s">
        <v>472</v>
      </c>
      <c r="B295" s="2">
        <v>45681</v>
      </c>
      <c r="C295" t="s">
        <v>33</v>
      </c>
      <c r="D295" t="s">
        <v>159</v>
      </c>
      <c r="E295" t="s">
        <v>26</v>
      </c>
      <c r="F295" t="s">
        <v>171</v>
      </c>
      <c r="G295" t="s">
        <v>175</v>
      </c>
      <c r="H295" t="s">
        <v>30</v>
      </c>
      <c r="I295" t="s">
        <v>216</v>
      </c>
      <c r="J295">
        <v>11</v>
      </c>
      <c r="K295" s="3">
        <v>5390</v>
      </c>
      <c r="L295" s="3">
        <v>59290</v>
      </c>
      <c r="M295" s="3">
        <v>32120</v>
      </c>
      <c r="N295" s="3">
        <v>27170</v>
      </c>
      <c r="O295" s="4">
        <v>0.458256029684601</v>
      </c>
      <c r="P295" t="s">
        <v>165</v>
      </c>
      <c r="Q295" t="s">
        <v>104</v>
      </c>
      <c r="R295" s="3">
        <v>66000</v>
      </c>
      <c r="S295" s="4">
        <v>0.898333333333333</v>
      </c>
      <c r="T295" s="4">
        <v>0.16041576309085</v>
      </c>
      <c r="U295" t="s">
        <v>116</v>
      </c>
      <c r="V295" s="4">
        <v>0.05</v>
      </c>
      <c r="W295">
        <v>4.1</v>
      </c>
    </row>
    <row r="296" spans="1:23">
      <c r="A296" t="s">
        <v>473</v>
      </c>
      <c r="B296" s="2">
        <v>45834</v>
      </c>
      <c r="C296" t="s">
        <v>38</v>
      </c>
      <c r="D296" t="s">
        <v>150</v>
      </c>
      <c r="E296" t="s">
        <v>28</v>
      </c>
      <c r="F296" t="s">
        <v>167</v>
      </c>
      <c r="G296" t="s">
        <v>156</v>
      </c>
      <c r="H296" t="s">
        <v>27</v>
      </c>
      <c r="I296" t="s">
        <v>162</v>
      </c>
      <c r="J296">
        <v>3</v>
      </c>
      <c r="K296" s="3">
        <v>19050</v>
      </c>
      <c r="L296" s="3">
        <v>57150</v>
      </c>
      <c r="M296" s="3">
        <v>37800</v>
      </c>
      <c r="N296" s="3">
        <v>19350</v>
      </c>
      <c r="O296" s="4">
        <v>0.338582677165354</v>
      </c>
      <c r="P296" t="s">
        <v>101</v>
      </c>
      <c r="Q296" t="s">
        <v>153</v>
      </c>
      <c r="R296" s="3">
        <v>63500</v>
      </c>
      <c r="S296" s="4">
        <v>0.9</v>
      </c>
      <c r="T296" s="4">
        <v>-0.0312842459772306</v>
      </c>
      <c r="U296" t="s">
        <v>116</v>
      </c>
      <c r="V296" s="4">
        <v>0</v>
      </c>
      <c r="W296">
        <v>3.5</v>
      </c>
    </row>
    <row r="297" spans="1:23">
      <c r="A297" t="s">
        <v>474</v>
      </c>
      <c r="B297" s="2">
        <v>45727</v>
      </c>
      <c r="C297" t="s">
        <v>35</v>
      </c>
      <c r="D297" t="s">
        <v>159</v>
      </c>
      <c r="E297" t="s">
        <v>26</v>
      </c>
      <c r="F297" t="s">
        <v>171</v>
      </c>
      <c r="G297" t="s">
        <v>147</v>
      </c>
      <c r="H297" t="s">
        <v>4</v>
      </c>
      <c r="I297" t="s">
        <v>172</v>
      </c>
      <c r="J297">
        <v>12</v>
      </c>
      <c r="K297" s="3">
        <v>11320</v>
      </c>
      <c r="L297" s="3">
        <v>135840</v>
      </c>
      <c r="M297" s="3">
        <v>85200</v>
      </c>
      <c r="N297" s="3">
        <v>50640</v>
      </c>
      <c r="O297" s="4">
        <v>0.372791519434629</v>
      </c>
      <c r="P297" t="s">
        <v>101</v>
      </c>
      <c r="Q297" t="s">
        <v>104</v>
      </c>
      <c r="R297" s="3">
        <v>142400</v>
      </c>
      <c r="S297" s="4">
        <v>0.953932584269663</v>
      </c>
      <c r="T297" s="4">
        <v>0.198340151533584</v>
      </c>
      <c r="U297" t="s">
        <v>116</v>
      </c>
      <c r="V297" s="4">
        <v>0.05</v>
      </c>
      <c r="W297">
        <v>4.6</v>
      </c>
    </row>
    <row r="298" spans="1:23">
      <c r="A298" t="s">
        <v>475</v>
      </c>
      <c r="B298" s="2">
        <v>45756</v>
      </c>
      <c r="C298" t="s">
        <v>36</v>
      </c>
      <c r="D298" t="s">
        <v>150</v>
      </c>
      <c r="E298" t="s">
        <v>26</v>
      </c>
      <c r="F298" t="s">
        <v>171</v>
      </c>
      <c r="G298" t="s">
        <v>175</v>
      </c>
      <c r="H298" t="s">
        <v>30</v>
      </c>
      <c r="I298" t="s">
        <v>81</v>
      </c>
      <c r="J298">
        <v>7</v>
      </c>
      <c r="K298" s="3">
        <v>2050</v>
      </c>
      <c r="L298" s="3">
        <v>14350</v>
      </c>
      <c r="M298" s="3">
        <v>6510</v>
      </c>
      <c r="N298" s="3">
        <v>7840</v>
      </c>
      <c r="O298" s="4">
        <v>0.546341463414634</v>
      </c>
      <c r="P298" t="s">
        <v>165</v>
      </c>
      <c r="Q298" t="s">
        <v>153</v>
      </c>
      <c r="R298" s="3">
        <v>14900</v>
      </c>
      <c r="S298" s="4">
        <v>0.963087248322148</v>
      </c>
      <c r="T298" s="4">
        <v>0.121528792116237</v>
      </c>
      <c r="U298" t="s">
        <v>116</v>
      </c>
      <c r="V298" s="4">
        <v>0.05</v>
      </c>
      <c r="W298">
        <v>3.6</v>
      </c>
    </row>
    <row r="299" spans="1:23">
      <c r="A299" t="s">
        <v>476</v>
      </c>
      <c r="B299" s="2">
        <v>46009</v>
      </c>
      <c r="C299" t="s">
        <v>44</v>
      </c>
      <c r="D299" t="s">
        <v>145</v>
      </c>
      <c r="E299" t="s">
        <v>26</v>
      </c>
      <c r="F299" t="s">
        <v>146</v>
      </c>
      <c r="G299" t="s">
        <v>175</v>
      </c>
      <c r="H299" t="s">
        <v>25</v>
      </c>
      <c r="I299" t="s">
        <v>207</v>
      </c>
      <c r="J299">
        <v>15</v>
      </c>
      <c r="K299" s="3">
        <v>68760</v>
      </c>
      <c r="L299" s="3">
        <v>1031400</v>
      </c>
      <c r="M299" s="3">
        <v>787500</v>
      </c>
      <c r="N299" s="3">
        <v>243900</v>
      </c>
      <c r="O299" s="4">
        <v>0.236474694589878</v>
      </c>
      <c r="P299" t="s">
        <v>165</v>
      </c>
      <c r="Q299" t="s">
        <v>104</v>
      </c>
      <c r="R299" s="3">
        <v>982400</v>
      </c>
      <c r="S299" s="4">
        <v>1.04987785016287</v>
      </c>
      <c r="T299" s="4">
        <v>0.124624588265798</v>
      </c>
      <c r="U299" t="s">
        <v>116</v>
      </c>
      <c r="V299" s="4">
        <v>0.08</v>
      </c>
      <c r="W299">
        <v>4.9</v>
      </c>
    </row>
    <row r="300" spans="1:23">
      <c r="A300" t="s">
        <v>477</v>
      </c>
      <c r="B300" s="2">
        <v>46010</v>
      </c>
      <c r="C300" t="s">
        <v>44</v>
      </c>
      <c r="D300" t="s">
        <v>145</v>
      </c>
      <c r="E300" t="s">
        <v>26</v>
      </c>
      <c r="F300" t="s">
        <v>171</v>
      </c>
      <c r="G300" t="s">
        <v>175</v>
      </c>
      <c r="H300" t="s">
        <v>30</v>
      </c>
      <c r="I300" t="s">
        <v>169</v>
      </c>
      <c r="J300">
        <v>15</v>
      </c>
      <c r="K300" s="3">
        <v>4090</v>
      </c>
      <c r="L300" s="3">
        <v>61350</v>
      </c>
      <c r="M300" s="3">
        <v>26400</v>
      </c>
      <c r="N300" s="3">
        <v>34950</v>
      </c>
      <c r="O300" s="4">
        <v>0.569682151589242</v>
      </c>
      <c r="P300" t="s">
        <v>165</v>
      </c>
      <c r="Q300" t="s">
        <v>104</v>
      </c>
      <c r="R300" s="3">
        <v>68100</v>
      </c>
      <c r="S300" s="4">
        <v>0.900881057268722</v>
      </c>
      <c r="T300" s="4">
        <v>0.016800647861595</v>
      </c>
      <c r="U300" t="s">
        <v>116</v>
      </c>
      <c r="V300" s="4">
        <v>0</v>
      </c>
      <c r="W300">
        <v>4.4</v>
      </c>
    </row>
    <row r="301" spans="1:23">
      <c r="A301" t="s">
        <v>478</v>
      </c>
      <c r="B301" s="2">
        <v>45741</v>
      </c>
      <c r="C301" t="s">
        <v>35</v>
      </c>
      <c r="D301" t="s">
        <v>159</v>
      </c>
      <c r="E301" t="s">
        <v>26</v>
      </c>
      <c r="F301" t="s">
        <v>146</v>
      </c>
      <c r="G301" t="s">
        <v>147</v>
      </c>
      <c r="H301" t="s">
        <v>30</v>
      </c>
      <c r="I301" t="s">
        <v>169</v>
      </c>
      <c r="J301">
        <v>7</v>
      </c>
      <c r="K301" s="3">
        <v>3890</v>
      </c>
      <c r="L301" s="3">
        <v>27230</v>
      </c>
      <c r="M301" s="3">
        <v>12320</v>
      </c>
      <c r="N301" s="3">
        <v>14910</v>
      </c>
      <c r="O301" s="4">
        <v>0.547557840616967</v>
      </c>
      <c r="P301" t="s">
        <v>165</v>
      </c>
      <c r="Q301" t="s">
        <v>104</v>
      </c>
      <c r="R301" s="3">
        <v>27100</v>
      </c>
      <c r="S301" s="4">
        <v>1.00479704797048</v>
      </c>
      <c r="T301" s="4">
        <v>-0.0332112677328984</v>
      </c>
      <c r="U301" t="s">
        <v>116</v>
      </c>
      <c r="V301" s="4">
        <v>0</v>
      </c>
      <c r="W301">
        <v>3.7</v>
      </c>
    </row>
  </sheetData>
  <conditionalFormatting sqref="S2:S301">
    <cfRule type="colorScale" priority="1">
      <colorScale>
        <cfvo type="min"/>
        <cfvo type="percentile" val="50"/>
        <cfvo type="max"/>
        <color rgb="FF7F1D1D"/>
        <color rgb="FFB45309"/>
        <color rgb="FF166534"/>
      </colorScale>
    </cfRule>
  </conditionalFormatting>
  <pageMargins left="0.7" right="0.7" top="0.75" bottom="0.75" header="0.3" footer="0.3"/>
  <headerFooter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5"/>
  <sheetViews>
    <sheetView workbookViewId="0">
      <selection activeCell="A1" sqref="A1"/>
    </sheetView>
  </sheetViews>
  <sheetFormatPr defaultColWidth="9" defaultRowHeight="13.8" outlineLevelRow="4" outlineLevelCol="3"/>
  <sheetData>
    <row r="1" spans="1:4">
      <c r="A1" t="s">
        <v>479</v>
      </c>
      <c r="B1" t="s">
        <v>480</v>
      </c>
      <c r="C1" t="s">
        <v>481</v>
      </c>
      <c r="D1" t="s">
        <v>482</v>
      </c>
    </row>
    <row r="2" spans="1:4">
      <c r="A2" t="s">
        <v>24</v>
      </c>
      <c r="B2" t="s">
        <v>153</v>
      </c>
      <c r="C2" t="s">
        <v>165</v>
      </c>
      <c r="D2" t="s">
        <v>116</v>
      </c>
    </row>
    <row r="3" spans="1:4">
      <c r="A3" t="s">
        <v>26</v>
      </c>
      <c r="B3" t="s">
        <v>104</v>
      </c>
      <c r="C3" t="s">
        <v>101</v>
      </c>
      <c r="D3" t="s">
        <v>211</v>
      </c>
    </row>
    <row r="4" spans="1:4">
      <c r="A4" t="s">
        <v>28</v>
      </c>
      <c r="D4" t="s">
        <v>193</v>
      </c>
    </row>
    <row r="5" spans="1:4">
      <c r="A5" t="s">
        <v>29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Home</vt:lpstr>
      <vt:lpstr>Dashboard</vt:lpstr>
      <vt:lpstr>KPI_Center</vt:lpstr>
      <vt:lpstr>Forecast</vt:lpstr>
      <vt:lpstr>Reports</vt:lpstr>
      <vt:lpstr>Data_Dictionary</vt:lpstr>
      <vt:lpstr>Settings</vt:lpstr>
      <vt:lpstr>RAW_DATA</vt:lpstr>
      <vt:lpstr>Lists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SRIJA</cp:lastModifiedBy>
  <dcterms:created xsi:type="dcterms:W3CDTF">2026-08-07T07:19:37Z</dcterms:created>
  <dcterms:modified xsi:type="dcterms:W3CDTF">2026-08-07T07:19:37Z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6B93D60F9D674903AEFB99BF7EA36747_13</vt:lpwstr>
  </property>
  <property fmtid="{D5CDD505-2E9C-101B-9397-08002B2CF9AE}" pid="3" name="KSOProductBuildVer">
    <vt:lpwstr>1033-12.1.0.28032</vt:lpwstr>
  </property>
  <property fmtid="{D5CDD505-2E9C-101B-9397-08002B2CF9AE}" pid="4" name="CalculationRule">
    <vt:i4>0</vt:i4>
  </property>
</Properties>
</file>